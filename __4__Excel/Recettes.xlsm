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UTh\Desktop\Python\Baby_cooking\__4__Excel\"/>
    </mc:Choice>
  </mc:AlternateContent>
  <xr:revisionPtr revIDLastSave="0" documentId="13_ncr:1_{193B648D-66D3-4ED9-877C-B727DCD7AD7E}" xr6:coauthVersionLast="47" xr6:coauthVersionMax="47" xr10:uidLastSave="{00000000-0000-0000-0000-000000000000}"/>
  <bookViews>
    <workbookView xWindow="-108" yWindow="-108" windowWidth="23256" windowHeight="12576" activeTab="4" xr2:uid="{12C283CD-1ABC-422B-B56A-66FAB7B72886}"/>
  </bookViews>
  <sheets>
    <sheet name="Salée" sheetId="3" r:id="rId1"/>
    <sheet name="Sucrée" sheetId="2" r:id="rId2"/>
    <sheet name="Famille" sheetId="4" r:id="rId3"/>
    <sheet name="Système" sheetId="1" r:id="rId4"/>
    <sheet name="Calendrier Plan" sheetId="5" r:id="rId5"/>
    <sheet name="Feuil6" sheetId="6" r:id="rId6"/>
    <sheet name="Liste_ingrédients" sheetId="7" r:id="rId7"/>
  </sheets>
  <functionGroups builtInGroupCount="19"/>
  <externalReferences>
    <externalReference r:id="rId8"/>
  </externalReferences>
  <definedNames>
    <definedName name="An">[1]Système!$A$4</definedName>
    <definedName name="Fériés">OFFSET(Système!$F$1,1,,COUNTA(Système!$F:$F)-1,)</definedName>
    <definedName name="Jours_chômés">Système!$D$2:$D$8</definedName>
    <definedName name="Planning_Personnel">OFFSET(#REF!,1,1,732,40)</definedName>
    <definedName name="Premier_mois">[1]Système!$A$2</definedName>
    <definedName name="Repère">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7" l="1"/>
  <c r="F9" i="6"/>
  <c r="E9" i="6" s="1"/>
  <c r="P34" i="5"/>
  <c r="O34" i="5"/>
  <c r="J34" i="5"/>
  <c r="I34" i="5"/>
  <c r="D34" i="5"/>
  <c r="C34" i="5"/>
  <c r="P33" i="5"/>
  <c r="O33" i="5"/>
  <c r="J33" i="5"/>
  <c r="I33" i="5"/>
  <c r="D33" i="5"/>
  <c r="C33" i="5"/>
  <c r="P22" i="5"/>
  <c r="O22" i="5"/>
  <c r="J22" i="5"/>
  <c r="I22" i="5"/>
  <c r="D22" i="5"/>
  <c r="C22" i="5"/>
  <c r="P21" i="5"/>
  <c r="O21" i="5"/>
  <c r="J21" i="5"/>
  <c r="I21" i="5"/>
  <c r="D21" i="5"/>
  <c r="C21" i="5"/>
  <c r="P20" i="5"/>
  <c r="O20" i="5"/>
  <c r="J20" i="5"/>
  <c r="I20" i="5"/>
  <c r="D20" i="5"/>
  <c r="C20" i="5"/>
  <c r="P19" i="5"/>
  <c r="O19" i="5"/>
  <c r="J19" i="5"/>
  <c r="I19" i="5"/>
  <c r="D19" i="5"/>
  <c r="C19" i="5"/>
  <c r="P18" i="5"/>
  <c r="O18" i="5"/>
  <c r="J18" i="5"/>
  <c r="I18" i="5"/>
  <c r="D18" i="5"/>
  <c r="C18" i="5"/>
  <c r="P17" i="5"/>
  <c r="O17" i="5"/>
  <c r="J17" i="5"/>
  <c r="I17" i="5"/>
  <c r="D17" i="5"/>
  <c r="C17" i="5"/>
  <c r="P16" i="5"/>
  <c r="O16" i="5"/>
  <c r="J16" i="5"/>
  <c r="I16" i="5"/>
  <c r="D16" i="5"/>
  <c r="C16" i="5"/>
  <c r="P15" i="5"/>
  <c r="O15" i="5"/>
  <c r="J15" i="5"/>
  <c r="I15" i="5"/>
  <c r="D15" i="5"/>
  <c r="C15" i="5"/>
  <c r="P14" i="5"/>
  <c r="O14" i="5"/>
  <c r="J14" i="5"/>
  <c r="I14" i="5"/>
  <c r="D14" i="5"/>
  <c r="C14" i="5"/>
  <c r="P13" i="5"/>
  <c r="O13" i="5"/>
  <c r="J13" i="5"/>
  <c r="I13" i="5"/>
  <c r="D13" i="5"/>
  <c r="C13" i="5"/>
  <c r="P12" i="5"/>
  <c r="O12" i="5"/>
  <c r="D12" i="5"/>
  <c r="C12" i="5"/>
  <c r="P11" i="5"/>
  <c r="O11" i="5"/>
  <c r="D11" i="5"/>
  <c r="C11" i="5"/>
  <c r="P8" i="5"/>
  <c r="O8" i="5"/>
  <c r="J8" i="5"/>
  <c r="I8" i="5"/>
  <c r="D8" i="5"/>
  <c r="C8" i="5"/>
  <c r="P7" i="5"/>
  <c r="O7" i="5"/>
  <c r="J7" i="5"/>
  <c r="I7" i="5"/>
  <c r="D7" i="5"/>
  <c r="C7" i="5"/>
  <c r="P4" i="5"/>
  <c r="O4" i="5"/>
  <c r="J4" i="5"/>
  <c r="I4" i="5"/>
  <c r="D4" i="5"/>
  <c r="C4" i="5"/>
  <c r="F11" i="1"/>
  <c r="F2" i="1"/>
  <c r="D10" i="1"/>
  <c r="C8" i="1"/>
  <c r="D8" i="1" s="1"/>
  <c r="C7" i="1"/>
  <c r="D7" i="1" s="1"/>
  <c r="D6" i="1"/>
  <c r="A6" i="1"/>
  <c r="A4" i="1" s="1"/>
  <c r="E3" i="1" s="1"/>
  <c r="D5" i="1"/>
  <c r="C5" i="1"/>
  <c r="C4" i="1"/>
  <c r="D4" i="1" s="1"/>
  <c r="D3" i="1"/>
  <c r="D2" i="1"/>
  <c r="B1" i="1"/>
  <c r="E5" i="5"/>
  <c r="G9" i="6" l="1"/>
  <c r="F10" i="6"/>
  <c r="A2" i="1"/>
  <c r="D9" i="1" s="1"/>
  <c r="E12" i="1"/>
  <c r="F13" i="1"/>
  <c r="E13" i="1"/>
  <c r="E11" i="1"/>
  <c r="E10" i="1"/>
  <c r="E9" i="1"/>
  <c r="E8" i="1"/>
  <c r="E7" i="1"/>
  <c r="E6" i="1"/>
  <c r="E5" i="1"/>
  <c r="E4" i="1"/>
  <c r="E2" i="1"/>
  <c r="F4" i="6" l="1"/>
  <c r="A3" i="6"/>
  <c r="B4" i="6"/>
  <c r="E3" i="6"/>
  <c r="G10" i="6"/>
  <c r="E10" i="6"/>
  <c r="F11" i="6"/>
  <c r="G2" i="5"/>
  <c r="A2" i="5"/>
  <c r="H4" i="5"/>
  <c r="N4" i="5"/>
  <c r="E6" i="5"/>
  <c r="B4" i="5"/>
  <c r="M2" i="5"/>
  <c r="G11" i="6" l="1"/>
  <c r="E11" i="6"/>
  <c r="F12" i="6"/>
  <c r="C4" i="6"/>
  <c r="A4" i="6"/>
  <c r="B5" i="6"/>
  <c r="G4" i="6"/>
  <c r="E4" i="6"/>
  <c r="F5" i="6"/>
  <c r="Q4" i="5"/>
  <c r="M4" i="5"/>
  <c r="N5" i="5"/>
  <c r="G4" i="5"/>
  <c r="H5" i="5"/>
  <c r="K4" i="5"/>
  <c r="E4" i="5"/>
  <c r="A4" i="5"/>
  <c r="B5" i="5"/>
  <c r="B6" i="6" l="1"/>
  <c r="A5" i="6"/>
  <c r="C5" i="6"/>
  <c r="F13" i="6"/>
  <c r="G12" i="6"/>
  <c r="E12" i="6"/>
  <c r="G5" i="6"/>
  <c r="E5" i="6"/>
  <c r="F6" i="6"/>
  <c r="N6" i="5"/>
  <c r="M5" i="5"/>
  <c r="B6" i="5"/>
  <c r="A5" i="5"/>
  <c r="G5" i="5"/>
  <c r="H6" i="5"/>
  <c r="E13" i="6" l="1"/>
  <c r="F14" i="6"/>
  <c r="G13" i="6"/>
  <c r="G6" i="6"/>
  <c r="E6" i="6"/>
  <c r="F7" i="6"/>
  <c r="A6" i="6"/>
  <c r="B7" i="6"/>
  <c r="C6" i="6"/>
  <c r="H7" i="5"/>
  <c r="G6" i="5"/>
  <c r="A6" i="5"/>
  <c r="B7" i="5"/>
  <c r="N7" i="5"/>
  <c r="M6" i="5"/>
  <c r="C7" i="6" l="1"/>
  <c r="A7" i="6"/>
  <c r="B8" i="6"/>
  <c r="E7" i="6"/>
  <c r="G7" i="6"/>
  <c r="G14" i="6"/>
  <c r="E14" i="6"/>
  <c r="F15" i="6"/>
  <c r="Q7" i="5"/>
  <c r="N8" i="5"/>
  <c r="M7" i="5"/>
  <c r="A7" i="5"/>
  <c r="E7" i="5"/>
  <c r="B8" i="5"/>
  <c r="H8" i="5"/>
  <c r="G7" i="5"/>
  <c r="K7" i="5"/>
  <c r="G15" i="6" l="1"/>
  <c r="E15" i="6"/>
  <c r="F16" i="6"/>
  <c r="B9" i="6"/>
  <c r="A8" i="6"/>
  <c r="G8" i="5"/>
  <c r="H9" i="5"/>
  <c r="K8" i="5"/>
  <c r="E8" i="5"/>
  <c r="A8" i="5"/>
  <c r="B9" i="5"/>
  <c r="N9" i="5"/>
  <c r="M8" i="5"/>
  <c r="Q8" i="5"/>
  <c r="C9" i="6" l="1"/>
  <c r="A9" i="6"/>
  <c r="B10" i="6"/>
  <c r="F17" i="6"/>
  <c r="G16" i="6"/>
  <c r="E16" i="6"/>
  <c r="B10" i="5"/>
  <c r="E9" i="5"/>
  <c r="A9" i="5"/>
  <c r="N10" i="5"/>
  <c r="M9" i="5"/>
  <c r="G9" i="5"/>
  <c r="H10" i="5"/>
  <c r="E17" i="6" l="1"/>
  <c r="F18" i="6"/>
  <c r="G17" i="6"/>
  <c r="C10" i="6"/>
  <c r="A10" i="6"/>
  <c r="B11" i="6"/>
  <c r="N11" i="5"/>
  <c r="M10" i="5"/>
  <c r="A10" i="5"/>
  <c r="E10" i="5"/>
  <c r="B11" i="5"/>
  <c r="H11" i="5"/>
  <c r="G10" i="5"/>
  <c r="B12" i="6" l="1"/>
  <c r="A11" i="6"/>
  <c r="C11" i="6"/>
  <c r="G18" i="6"/>
  <c r="E18" i="6"/>
  <c r="F19" i="6"/>
  <c r="H12" i="5"/>
  <c r="G11" i="5"/>
  <c r="B12" i="5"/>
  <c r="E11" i="5"/>
  <c r="A11" i="5"/>
  <c r="N12" i="5"/>
  <c r="M11" i="5"/>
  <c r="Q11" i="5"/>
  <c r="G19" i="6" l="1"/>
  <c r="E19" i="6"/>
  <c r="F20" i="6"/>
  <c r="A12" i="6"/>
  <c r="C12" i="6"/>
  <c r="B13" i="6"/>
  <c r="B13" i="5"/>
  <c r="A12" i="5"/>
  <c r="E12" i="5"/>
  <c r="M12" i="5"/>
  <c r="Q12" i="5"/>
  <c r="N13" i="5"/>
  <c r="H13" i="5"/>
  <c r="G12" i="5"/>
  <c r="C13" i="6" l="1"/>
  <c r="A13" i="6"/>
  <c r="B14" i="6"/>
  <c r="G20" i="6"/>
  <c r="F21" i="6"/>
  <c r="E20" i="6"/>
  <c r="A13" i="5"/>
  <c r="E13" i="5"/>
  <c r="B14" i="5"/>
  <c r="K13" i="5"/>
  <c r="H14" i="5"/>
  <c r="G13" i="5"/>
  <c r="Q13" i="5"/>
  <c r="M13" i="5"/>
  <c r="N14" i="5"/>
  <c r="E21" i="6" l="1"/>
  <c r="F22" i="6"/>
  <c r="G21" i="6"/>
  <c r="C14" i="6"/>
  <c r="A14" i="6"/>
  <c r="B15" i="6"/>
  <c r="G14" i="5"/>
  <c r="K14" i="5"/>
  <c r="H15" i="5"/>
  <c r="A14" i="5"/>
  <c r="E14" i="5"/>
  <c r="B15" i="5"/>
  <c r="Q14" i="5"/>
  <c r="M14" i="5"/>
  <c r="N15" i="5"/>
  <c r="B16" i="6" l="1"/>
  <c r="C15" i="6"/>
  <c r="A15" i="6"/>
  <c r="G22" i="6"/>
  <c r="E22" i="6"/>
  <c r="F23" i="6"/>
  <c r="N16" i="5"/>
  <c r="M15" i="5"/>
  <c r="Q15" i="5"/>
  <c r="G15" i="5"/>
  <c r="H16" i="5"/>
  <c r="K15" i="5"/>
  <c r="E15" i="5"/>
  <c r="A15" i="5"/>
  <c r="B16" i="5"/>
  <c r="G23" i="6" l="1"/>
  <c r="E23" i="6"/>
  <c r="F24" i="6"/>
  <c r="A16" i="6"/>
  <c r="B17" i="6"/>
  <c r="C16" i="6"/>
  <c r="B17" i="5"/>
  <c r="E16" i="5"/>
  <c r="A16" i="5"/>
  <c r="M16" i="5"/>
  <c r="Q16" i="5"/>
  <c r="N17" i="5"/>
  <c r="K16" i="5"/>
  <c r="H17" i="5"/>
  <c r="G16" i="5"/>
  <c r="C17" i="6" l="1"/>
  <c r="A17" i="6"/>
  <c r="B18" i="6"/>
  <c r="G24" i="6"/>
  <c r="F25" i="6"/>
  <c r="E24" i="6"/>
  <c r="Q17" i="5"/>
  <c r="N18" i="5"/>
  <c r="M17" i="5"/>
  <c r="K17" i="5"/>
  <c r="H18" i="5"/>
  <c r="G17" i="5"/>
  <c r="A17" i="5"/>
  <c r="E17" i="5"/>
  <c r="B18" i="5"/>
  <c r="E25" i="6" l="1"/>
  <c r="F26" i="6"/>
  <c r="G25" i="6"/>
  <c r="C18" i="6"/>
  <c r="A18" i="6"/>
  <c r="B19" i="6"/>
  <c r="G18" i="5"/>
  <c r="K18" i="5"/>
  <c r="H19" i="5"/>
  <c r="E18" i="5"/>
  <c r="B19" i="5"/>
  <c r="A18" i="5"/>
  <c r="Q18" i="5"/>
  <c r="N19" i="5"/>
  <c r="M18" i="5"/>
  <c r="B20" i="6" l="1"/>
  <c r="A19" i="6"/>
  <c r="C19" i="6"/>
  <c r="G26" i="6"/>
  <c r="E26" i="6"/>
  <c r="F27" i="6"/>
  <c r="E19" i="5"/>
  <c r="A19" i="5"/>
  <c r="B20" i="5"/>
  <c r="N20" i="5"/>
  <c r="M19" i="5"/>
  <c r="Q19" i="5"/>
  <c r="G19" i="5"/>
  <c r="H20" i="5"/>
  <c r="K19" i="5"/>
  <c r="G27" i="6" l="1"/>
  <c r="E27" i="6"/>
  <c r="F28" i="6"/>
  <c r="A20" i="6"/>
  <c r="B21" i="6"/>
  <c r="C20" i="6"/>
  <c r="M20" i="5"/>
  <c r="Q20" i="5"/>
  <c r="N21" i="5"/>
  <c r="B21" i="5"/>
  <c r="A20" i="5"/>
  <c r="E20" i="5"/>
  <c r="K20" i="5"/>
  <c r="H21" i="5"/>
  <c r="G20" i="5"/>
  <c r="C21" i="6" l="1"/>
  <c r="A21" i="6"/>
  <c r="B22" i="6"/>
  <c r="F29" i="6"/>
  <c r="G28" i="6"/>
  <c r="E28" i="6"/>
  <c r="K21" i="5"/>
  <c r="H22" i="5"/>
  <c r="G21" i="5"/>
  <c r="A21" i="5"/>
  <c r="E21" i="5"/>
  <c r="B22" i="5"/>
  <c r="Q21" i="5"/>
  <c r="N22" i="5"/>
  <c r="M21" i="5"/>
  <c r="E29" i="6" l="1"/>
  <c r="F30" i="6"/>
  <c r="G29" i="6"/>
  <c r="C22" i="6"/>
  <c r="A22" i="6"/>
  <c r="B23" i="6"/>
  <c r="E22" i="5"/>
  <c r="B23" i="5"/>
  <c r="A22" i="5"/>
  <c r="N23" i="5"/>
  <c r="Q22" i="5"/>
  <c r="M22" i="5"/>
  <c r="H23" i="5"/>
  <c r="G22" i="5"/>
  <c r="K22" i="5"/>
  <c r="G30" i="6" l="1"/>
  <c r="E30" i="6"/>
  <c r="F31" i="6"/>
  <c r="B24" i="6"/>
  <c r="C23" i="6"/>
  <c r="A23" i="6"/>
  <c r="N24" i="5"/>
  <c r="M23" i="5"/>
  <c r="H24" i="5"/>
  <c r="G23" i="5"/>
  <c r="A23" i="5"/>
  <c r="B24" i="5"/>
  <c r="A24" i="6" l="1"/>
  <c r="C24" i="6"/>
  <c r="B25" i="6"/>
  <c r="G31" i="6"/>
  <c r="E31" i="6"/>
  <c r="F32" i="6"/>
  <c r="H25" i="5"/>
  <c r="G24" i="5"/>
  <c r="A24" i="5"/>
  <c r="B25" i="5"/>
  <c r="N25" i="5"/>
  <c r="M24" i="5"/>
  <c r="G32" i="6" l="1"/>
  <c r="E32" i="6"/>
  <c r="F33" i="6"/>
  <c r="C25" i="6"/>
  <c r="A25" i="6"/>
  <c r="B26" i="6"/>
  <c r="A25" i="5"/>
  <c r="B26" i="5"/>
  <c r="N26" i="5"/>
  <c r="M25" i="5"/>
  <c r="H26" i="5"/>
  <c r="G25" i="5"/>
  <c r="C26" i="6" l="1"/>
  <c r="A26" i="6"/>
  <c r="B27" i="6"/>
  <c r="E33" i="6"/>
  <c r="F34" i="6"/>
  <c r="G33" i="6"/>
  <c r="H27" i="5"/>
  <c r="G26" i="5"/>
  <c r="N27" i="5"/>
  <c r="M26" i="5"/>
  <c r="A26" i="5"/>
  <c r="B27" i="5"/>
  <c r="G34" i="6" l="1"/>
  <c r="E34" i="6"/>
  <c r="B28" i="6"/>
  <c r="C27" i="6"/>
  <c r="A27" i="6"/>
  <c r="A27" i="5"/>
  <c r="B28" i="5"/>
  <c r="M27" i="5"/>
  <c r="N28" i="5"/>
  <c r="H28" i="5"/>
  <c r="G27" i="5"/>
  <c r="A28" i="6" l="1"/>
  <c r="B29" i="6"/>
  <c r="C28" i="6"/>
  <c r="M28" i="5"/>
  <c r="N29" i="5"/>
  <c r="H29" i="5"/>
  <c r="G28" i="5"/>
  <c r="B29" i="5"/>
  <c r="E28" i="5"/>
  <c r="A28" i="5"/>
  <c r="C29" i="6" l="1"/>
  <c r="A29" i="6"/>
  <c r="B30" i="6"/>
  <c r="B30" i="5"/>
  <c r="E29" i="5"/>
  <c r="A29" i="5"/>
  <c r="H30" i="5"/>
  <c r="G29" i="5"/>
  <c r="N30" i="5"/>
  <c r="M29" i="5"/>
  <c r="C30" i="6" l="1"/>
  <c r="A30" i="6"/>
  <c r="B31" i="6"/>
  <c r="H31" i="5"/>
  <c r="G30" i="5"/>
  <c r="N31" i="5"/>
  <c r="M30" i="5"/>
  <c r="B31" i="5"/>
  <c r="A30" i="5"/>
  <c r="B32" i="6" l="1"/>
  <c r="A31" i="6"/>
  <c r="C31" i="6"/>
  <c r="B32" i="5"/>
  <c r="A31" i="5"/>
  <c r="N32" i="5"/>
  <c r="M31" i="5"/>
  <c r="H32" i="5"/>
  <c r="G31" i="5"/>
  <c r="A32" i="6" l="1"/>
  <c r="B33" i="6"/>
  <c r="C32" i="6"/>
  <c r="G32" i="5"/>
  <c r="H33" i="5"/>
  <c r="N33" i="5"/>
  <c r="M32" i="5"/>
  <c r="B33" i="5"/>
  <c r="A32" i="5"/>
  <c r="C33" i="6" l="1"/>
  <c r="A33" i="6"/>
  <c r="B34" i="6"/>
  <c r="B34" i="5"/>
  <c r="A33" i="5"/>
  <c r="E33" i="5"/>
  <c r="M33" i="5"/>
  <c r="Q33" i="5"/>
  <c r="N34" i="5"/>
  <c r="K33" i="5"/>
  <c r="H34" i="5"/>
  <c r="G33" i="5"/>
  <c r="C34" i="6" l="1"/>
  <c r="A34" i="6"/>
  <c r="Q34" i="5"/>
  <c r="M34" i="5"/>
  <c r="K34" i="5"/>
  <c r="G34" i="5"/>
  <c r="A34" i="5"/>
  <c r="E34" i="5"/>
</calcChain>
</file>

<file path=xl/sharedStrings.xml><?xml version="1.0" encoding="utf-8"?>
<sst xmlns="http://schemas.openxmlformats.org/spreadsheetml/2006/main" count="3262" uniqueCount="3223">
  <si>
    <t>Recettes</t>
  </si>
  <si>
    <t>Ingrédients</t>
  </si>
  <si>
    <t>Colonne1</t>
  </si>
  <si>
    <t>Abricot en morceaux.html</t>
  </si>
  <si>
    <t>['1  abricot(s)']</t>
  </si>
  <si>
    <t>Baby cheesecake à la vanille.html</t>
  </si>
  <si>
    <t>['50 g dattes medjhoul', "20 g poudre d'amandes", '20 g flocons d’avoine', '4  petit-suisse', '1  oeuf(s)', '½ gousse(s) vanille']</t>
  </si>
  <si>
    <t>Banana bread.html</t>
  </si>
  <si>
    <t>['4  banane(s)', '150 g farine', '100 g compote de pommes', '3  oeuf(s)', "110 g poudre d'amandes", '½ sachet(s) poudre à lever']</t>
  </si>
  <si>
    <t>Banane fantôme (pour Halloween).html</t>
  </si>
  <si>
    <t>['1  banane', '1 carré(s) chocolat noir']</t>
  </si>
  <si>
    <t>Banane mixée à la myrtille.html</t>
  </si>
  <si>
    <t>['1  banane(s)', '30 g myrtilles']</t>
  </si>
  <si>
    <t>Banane pour bébé.html</t>
  </si>
  <si>
    <t>['1  banane(s)']</t>
  </si>
  <si>
    <t>Barquettes aux framboises (sans sucre).html</t>
  </si>
  <si>
    <t>['150 g compote de pommes', '100 g farine', '2  oeuf(s)', '50 g framboises', '1 c. à café poudre à lever', '1 pincée(s) vanille en poudre']</t>
  </si>
  <si>
    <t>Barquettes aux fruits.html</t>
  </si>
  <si>
    <t>['1  oeuf(s)', '85 g farine', '85 g fromage blanc', '30 g cassonade', '1 c. à café poudre à lever', '1 pincée(s) vanille', '25 g framboises', '25 g fraises', '50 g mangue']</t>
  </si>
  <si>
    <t>Barres de céréales.html</t>
  </si>
  <si>
    <t>["200 g flocons d'avoine", '1  banane(s)', '100 g compote de pommes', '100 g raisins secs', "2 c. à soupe purée d'amandes"]</t>
  </si>
  <si>
    <t>Biscuit à la cuillère vanillé.html</t>
  </si>
  <si>
    <t>['50 g farine', '1  oeuf(s)', '10 g huile(s) végétale(s)', '10 g sucre', '1 c. à café fécule de maïs', '¼ c. à café poudre à lever', '½ gousse(s) vanille']</t>
  </si>
  <si>
    <t>Biscuits fondants façon « carrot cake ».html</t>
  </si>
  <si>
    <t>['50 g carotte(s)', '50 g compote de pommes', "25 g flocons d'avoine", '25 g noisettes en poudre', '1 pincée(s) cannelle']</t>
  </si>
  <si>
    <t>Biscuits pomme noisettes.html</t>
  </si>
  <si>
    <t>['80 g farine', '50 g noisettes en poudre', '50 g jus de pommes', '25 g huile(s) végétale(s)']</t>
  </si>
  <si>
    <t>Bonbons banane (sans friture).html</t>
  </si>
  <si>
    <t>['2  banane(s)', '1  oeuf(s)', '40 g farine', '1 c. à soupe huile(s) végétale(s)', '  vanille']</t>
  </si>
  <si>
    <t>Bouillie aux céréales infantiles.html</t>
  </si>
  <si>
    <t>['150 mL eau', '5 mesurettes lait infantile', '3 c. à soupe céréales infantiles']</t>
  </si>
  <si>
    <t>Bouza tunisienne (crème de noisettes).html</t>
  </si>
  <si>
    <t>['50 g purée de noisettes', '1 c. à soupe fécule de maïs', '250 mL lait']</t>
  </si>
  <si>
    <t>Bowl cake à la poire et aux noix de pécan.html</t>
  </si>
  <si>
    <t>['1   oeuf(s)', '1  poire(s)', "30 g flocons d'avoine", "15 g poudre d'amandes ", '2 g poudre à lever', '15 g noix de pécan ', '1 pincée(s) vanille en poudre']</t>
  </si>
  <si>
    <t>Bûche de Noël poire noisette.html</t>
  </si>
  <si>
    <t>['4  oeuf(s)', '125 g farine', '125 g sucre', '3 g poudre à lever', '1 pincée vanille en poudre', '200 g compote pomme poire', '100 g purée de noisettes', '50 mL lait', '100 mL crème liquide', '60 g mascarpone', '1 pincée vanille en poudre']</t>
  </si>
  <si>
    <t>Cake ananas noix de coco.html</t>
  </si>
  <si>
    <t>['150 g compote pomme ananas', '80 g farine', '2  oeuf(s)', '25 g noix de coco râpée', '1 c. à café poudre à lever']</t>
  </si>
  <si>
    <t>Cake au citron, avoine et amandes.html</t>
  </si>
  <si>
    <t>['150 g yaourt grec', '3  oeuf(s)', '90 g sirop de dattes', '2  citron(s)', "130 g farine d'avoine", "130 g poudre d'amandes", '1 c. à café bicarbonate de soude alimentaire']</t>
  </si>
  <si>
    <t>Cake aux cerises.html</t>
  </si>
  <si>
    <t>['100 g cerises', '100 g compote de pommes', '50 g farine', '1  oeuf(s)', "25 g poudre d'amandes", '20 g huile(s) végétale(s)', '1 c. à café poudre à lever']</t>
  </si>
  <si>
    <t>Cake aux kakis.html</t>
  </si>
  <si>
    <t>['2  kaki(s)', "150 g farine d'épeautre", '100 g yaourt', '60 mL huile(s) végétale(s)', "50 g poudre d'amandes", '40 mL lait', '5  dattes', '2 c. à café poudre à lever', '½ c. à café bicarbonate de soude alimentaire', '2 pincée(s) cannelle']</t>
  </si>
  <si>
    <t>Cake banane noix de pécan.html</t>
  </si>
  <si>
    <t>['2  banane(s)', '250 g farine', '150 mL lait', '100 g fromage blanc', '2  oeuf(s)', "50 g poudre d'amandes", '50 g noix de pécan', '50 g beurre', '30 g huile de tournesol', '1 sachet(s) poudre à lever', '1 pincée vanille en poudre']</t>
  </si>
  <si>
    <t>Cake marbré à la caroube.html</t>
  </si>
  <si>
    <t>['300 g compote de pommes', '195 g farine', '4  oeuf(s)', '45 g huile(s) végétale(s)', '30 g poudre de caroube', '2 c. à café poudre à lever', '2 pincée(s) vanille']</t>
  </si>
  <si>
    <t>Cake sans oeuf aux châtaignes et noisettes.html</t>
  </si>
  <si>
    <t>['100 g compote de pommes', '60 g farine de châtaignes', '25 g noisettes en poudre', '50 mL lait entier', '30 g huile(s) végétale(s)', '1 c. à café poudre à lever']</t>
  </si>
  <si>
    <t>Cerises en morceaux.html</t>
  </si>
  <si>
    <t>['5  cerises']</t>
  </si>
  <si>
    <t>Charlotte aux fraises pour bébé.html</t>
  </si>
  <si>
    <t>['8  boudoirs', '6  fraises', '1  petit-suisse']</t>
  </si>
  <si>
    <t>Chocolat viennois à la cannelle.html</t>
  </si>
  <si>
    <t>['20 cL lait entier', '1 c. à soupe cacao en poudre', '1 c. à café fécule de maïs', '½ c. à café cannelle', '65 mL crème liquide', '40 g mascarpone', '  vanille']</t>
  </si>
  <si>
    <t>Clafoutis amande raisin blanc.html</t>
  </si>
  <si>
    <t>['40 cL lait', '150 g raisins', '3  oeuf(s)', "100 g poudre d'amandes", '60 g beurre', '50 g farine ', '50 g fécule de maïs', '50 g sirop de dattes', '1 poignée amandes effilées', '1 c. à café vanille']</t>
  </si>
  <si>
    <t>Clafoutis aux mûres.html</t>
  </si>
  <si>
    <t>['40 cL lait', '150 g mûres', '3  oeuf(s)', "100 g poudre d'amandes", '60 g beurre', '50 g farine', '50 g fécule de maïs', '50 g sirop de dattes', '1 c. à café vanille']</t>
  </si>
  <si>
    <t>Cocktail de fruits en compotes.html</t>
  </si>
  <si>
    <t>['25 g compote de pommes', '25 g compote de framboises', "25 g compote d'abricots", '25 g compote de pêches', '25 g compote de fraises']</t>
  </si>
  <si>
    <t>Coeurs fondants pomme noisettes.html</t>
  </si>
  <si>
    <t>['100 g compote de pommes', '1  oeuf(s)', '25 g noisettes en poudre', '25 g farine', '20 g beurre', '2 c. à café purée de noisettes', '1 c. à café poudre à lever']</t>
  </si>
  <si>
    <t>Compote à l’ananas.html</t>
  </si>
  <si>
    <t>['2  pomme(s)', '250 g ananas']</t>
  </si>
  <si>
    <t>Compote aux châtaignes.html</t>
  </si>
  <si>
    <t>['2  pomme(s)', '50 g châtaignes']</t>
  </si>
  <si>
    <t>Compote aux mirabelles.html</t>
  </si>
  <si>
    <t>['500 g mirabelles']</t>
  </si>
  <si>
    <t>Compote banane cerises.html</t>
  </si>
  <si>
    <t>['1  banane(s)', '150 g cerises']</t>
  </si>
  <si>
    <t>Compote banane fraise.html</t>
  </si>
  <si>
    <t>['1  banane(s)', '125 g fraises']</t>
  </si>
  <si>
    <t>Compote banane mangue orange.html</t>
  </si>
  <si>
    <t>['150 g mangue', '½  banane(s)', '½  orange(s)']</t>
  </si>
  <si>
    <t>Compote banane pomme orange.html</t>
  </si>
  <si>
    <t>['1  banane(s)', '1  pomme(s)', '1  orange(s)']</t>
  </si>
  <si>
    <t>Compote banane rhubarbe.html</t>
  </si>
  <si>
    <t>['1  banane(s)', '1 tige(s) rhubarbe']</t>
  </si>
  <si>
    <t>Compote biscuitée à la framboise.html</t>
  </si>
  <si>
    <t>['1  pomme(s)', '200 g framboises', '2  biscuits friables']</t>
  </si>
  <si>
    <t>Compote cerises fraises et avoine.html</t>
  </si>
  <si>
    <t>["40 g flocons d'avoine", '100 g fraises', '100 g cerises']</t>
  </si>
  <si>
    <t>Compote d’abricot à la verveine.html</t>
  </si>
  <si>
    <t>['150 g abricot(s)', '1 feuille(s) verveine']</t>
  </si>
  <si>
    <t>Compote d’abricots secs et pommes.html</t>
  </si>
  <si>
    <t>['2  pomme(s)', '100 g abricot(s) sec(s)']</t>
  </si>
  <si>
    <t>Compote d’abricots.html</t>
  </si>
  <si>
    <t>['150 g abricot(s)']</t>
  </si>
  <si>
    <t>Compote de banane et fruit de la passion.html</t>
  </si>
  <si>
    <t>['1  banane', '1  fruit(s) de la passion']</t>
  </si>
  <si>
    <t>Compote de banane et raisins secs.html</t>
  </si>
  <si>
    <t>['1  banane(s)', '20 g raisins secs', '20 mL eau']</t>
  </si>
  <si>
    <t>Compote de coings.html</t>
  </si>
  <si>
    <t>['1  coing(s)']</t>
  </si>
  <si>
    <t>Compote de figues.html</t>
  </si>
  <si>
    <t>['1  pomme(s)', '4  figue(s)']</t>
  </si>
  <si>
    <t>Compote de fraises à la menthe.html</t>
  </si>
  <si>
    <t>['1  pomme(s)', '125 g fraises', '1 feuille(s) menthe']</t>
  </si>
  <si>
    <t>Compote de fraises à la verveine.html</t>
  </si>
  <si>
    <t>['1  pomme(s)', '125 g fraises', '1 feuille(s) verveine']</t>
  </si>
  <si>
    <t>Compote de framboise coco.html</t>
  </si>
  <si>
    <t>['1  pomme(s)', '200 g framboises', '2 c. à café noix de coco râpée']</t>
  </si>
  <si>
    <t>Compote de framboises.html</t>
  </si>
  <si>
    <t>['1  pomme(s)', '200 g framboises']</t>
  </si>
  <si>
    <t>Compote de fruits rouges.html</t>
  </si>
  <si>
    <t>['1  pomme(s)', '100 g framboises', '100 g fraises']</t>
  </si>
  <si>
    <t>Compote de goyaviers et banane.html</t>
  </si>
  <si>
    <t>['1  banane(s)', '50 g goyaviers']</t>
  </si>
  <si>
    <t>Compote de kaki.html</t>
  </si>
  <si>
    <t>['1  kaki(s)']</t>
  </si>
  <si>
    <t>Compote de kiwi.html</t>
  </si>
  <si>
    <t>['2  kiwi(s)', '1  pomme(s)']</t>
  </si>
  <si>
    <t>Compote de litchi.html</t>
  </si>
  <si>
    <t>['2  pomme(s)', '10  litchis']</t>
  </si>
  <si>
    <t>Compote de mangue.html</t>
  </si>
  <si>
    <t>['150 g mangue', '1  pomme(s)']</t>
  </si>
  <si>
    <t>Compote de melon et vanille.html</t>
  </si>
  <si>
    <t>['100 g melon', '1  pomme(s)', '½ gousse(s) vanille']</t>
  </si>
  <si>
    <t>Compote de myrtilles.html</t>
  </si>
  <si>
    <t>['1  pomme', '25 g myrtilles']</t>
  </si>
  <si>
    <t>Compote de nectarines.html</t>
  </si>
  <si>
    <t>['200 g nectarine(s)']</t>
  </si>
  <si>
    <t>Compote de pêche à la menthe.html</t>
  </si>
  <si>
    <t>['200g g pêche(s)', '1 feuille(s) menthe']</t>
  </si>
  <si>
    <t>Compote de pêches.html</t>
  </si>
  <si>
    <t>['200g g pêche(s)']</t>
  </si>
  <si>
    <t>Compote de poire et coing.html</t>
  </si>
  <si>
    <t>['1  coing(s)', '1  poire(s)']</t>
  </si>
  <si>
    <t>Compote de poire et pruneaux à la vanille.html</t>
  </si>
  <si>
    <t>['2  poire(s)', '8  pruneau(x)', '½ gousse(s) vanille']</t>
  </si>
  <si>
    <t>Compote de poires.html</t>
  </si>
  <si>
    <t>['1  poire(s)', '  jus de citron']</t>
  </si>
  <si>
    <t>Compote de pomme et coing.html</t>
  </si>
  <si>
    <t>['1  pomme(s)', '1  coing(s)']</t>
  </si>
  <si>
    <t>Compote de pomme gingembre et cannelle.html</t>
  </si>
  <si>
    <t>['1  pomme(s)', '1 bout gingembre', '1 pincée(s) cannelle']</t>
  </si>
  <si>
    <t>Compote de pomme poire et coing.html</t>
  </si>
  <si>
    <t>['1  pomme(s)', '1  poire(s)', '1  coing(s)']</t>
  </si>
  <si>
    <t>Compote de pomme, cerises et menthe 🍒.html</t>
  </si>
  <si>
    <t>['1  pomme(s)', '150 g cerises', '1 feuille(s) menthe']</t>
  </si>
  <si>
    <t>Compote de pommes pour bébé.html</t>
  </si>
  <si>
    <t>['6  pomme(s)', '1 pincée(s) cannelle', '1 pincée(s) vanille', '½  clémentine(s)']</t>
  </si>
  <si>
    <t>Compote de pommes.html</t>
  </si>
  <si>
    <t>['1  pomme(s)']</t>
  </si>
  <si>
    <t>Compote de pruneaux.html</t>
  </si>
  <si>
    <t>['1  pomme(s)', '50 g pruneau(x)']</t>
  </si>
  <si>
    <t>Compote de prunes.html</t>
  </si>
  <si>
    <t>['200 g prune(s)']</t>
  </si>
  <si>
    <t>Compote de raisins.html</t>
  </si>
  <si>
    <t>['1  pomme(s)', '100 g raisins']</t>
  </si>
  <si>
    <t>Compote fraise, rhubarbe, pomme.html</t>
  </si>
  <si>
    <t>['1 tige(s) rhubarbe', '1  pomme(s)', '8  fraises']</t>
  </si>
  <si>
    <t>Compote kiwi banane mangue.html</t>
  </si>
  <si>
    <t>['150 g mangue', '1  banane(s)', '1  kiwi(s)']</t>
  </si>
  <si>
    <t>Compote papaye ananas.html</t>
  </si>
  <si>
    <t>['½  papaye(s)', '½  ananas']</t>
  </si>
  <si>
    <t>Compote pêches pomme abricots.html</t>
  </si>
  <si>
    <t>['1  pomme(s)', '1  pêche(s)', '2  abricot(s)']</t>
  </si>
  <si>
    <t>Compote poire-kiwi biscuitée.html</t>
  </si>
  <si>
    <t>['1  poire', '1  kiwi', '2  boudoir(s) pour bébé']</t>
  </si>
  <si>
    <t>Compote pomme abricot coco.html</t>
  </si>
  <si>
    <t>['1  pomme(s)', '150 g abricot(s)', '1 c. à café noix de coco râpée']</t>
  </si>
  <si>
    <t>Compote pomme abricots.html</t>
  </si>
  <si>
    <t>['1  pomme(s)', '150 g abricot(s)']</t>
  </si>
  <si>
    <t>Compote pomme banane ananas.html</t>
  </si>
  <si>
    <t>['1  pomme(s)', '125 g ananas', '1  banane(s)']</t>
  </si>
  <si>
    <t>Compote pomme banane cerises.html</t>
  </si>
  <si>
    <t>['1  pomme(s)', '1  banane(s)', '150 g cerises']</t>
  </si>
  <si>
    <t>Compote pomme banane et cannelle.html</t>
  </si>
  <si>
    <t>['1  pomme(s)', '1  banane(s)', '1 pincée(s) cannelle', '  jus de citron']</t>
  </si>
  <si>
    <t>Compote pomme banane fraise.html</t>
  </si>
  <si>
    <t>['1  pomme(s)', '1  banane(s)', '125 g fraises']</t>
  </si>
  <si>
    <t>Compote pomme banane rhubarbe.html</t>
  </si>
  <si>
    <t>['1  pomme(s)', '1  banane(s)', '1 tige(s) rhubarbe']</t>
  </si>
  <si>
    <t>Compote pomme banane.html</t>
  </si>
  <si>
    <t>['1  pomme(s)', '1  banane(s)', '  jus de citron']</t>
  </si>
  <si>
    <t>Compote pomme cannelle.html</t>
  </si>
  <si>
    <t>['1  pomme(s)', '1 pincée(s) cannelle']</t>
  </si>
  <si>
    <t>Compote pomme cerises.html</t>
  </si>
  <si>
    <t>['1  pomme(s)', '150 g cerises']</t>
  </si>
  <si>
    <t>Compote pomme fraise et basilic.html</t>
  </si>
  <si>
    <t>['1  pomme(s)', '125 g fraises', '1 feuille(s) basilic']</t>
  </si>
  <si>
    <t>Compote pomme fraise.html</t>
  </si>
  <si>
    <t>['1  pomme(s)', '125 g fraises']</t>
  </si>
  <si>
    <t>Compote pomme grenade.html</t>
  </si>
  <si>
    <t>['3  pomme(s)', '1  grenade']</t>
  </si>
  <si>
    <t>Compote pomme kaki.html</t>
  </si>
  <si>
    <t>['1  kaki(s)', '1  pomme(s)']</t>
  </si>
  <si>
    <t>Compote pomme kiwi mangue.html</t>
  </si>
  <si>
    <t>['150 g mangue', '1  pomme(s)', '1  kiwi(s)']</t>
  </si>
  <si>
    <t>Compote pomme mûres.html</t>
  </si>
  <si>
    <t>['1  pomme(s)', '30 g mûres']</t>
  </si>
  <si>
    <t>Compote pomme orange.html</t>
  </si>
  <si>
    <t>['1  pomme(s)', '½  orange(s)']</t>
  </si>
  <si>
    <t>Compote pomme pêches.html</t>
  </si>
  <si>
    <t>['1  pomme(s)', '200 g pêche(s)']</t>
  </si>
  <si>
    <t>Compote pomme poire kaki.html</t>
  </si>
  <si>
    <t>['1  kaki(s)', '1  pomme(s)', '1  poire(s)']</t>
  </si>
  <si>
    <t>Compote pomme poire raisins.html</t>
  </si>
  <si>
    <t>['1  pomme(s)', '1  poire(s)', '100 g raisins']</t>
  </si>
  <si>
    <t>Compote pomme poire.html</t>
  </si>
  <si>
    <t>['1  poire(s)', '1  pomme(s)', '  jus de citron']</t>
  </si>
  <si>
    <t>Compote pomme pruneaux coing.html</t>
  </si>
  <si>
    <t>['1  pomme(s)', '1  coing(s)', '50 g pruneau(x)']</t>
  </si>
  <si>
    <t>Compote pomme rhubarbe et amande.html</t>
  </si>
  <si>
    <t>['1  pomme(s)', '1 tige(s) rhubarbe', "20 g poudre d'amandes"]</t>
  </si>
  <si>
    <t>Compote pomme rhubarbe.html</t>
  </si>
  <si>
    <t>['1  pomme(s)', '1 tige(s) rhubarbe']</t>
  </si>
  <si>
    <t>Compote pomme-clémentine.html</t>
  </si>
  <si>
    <t>['2  pomme(s)', '2  clémentine(s)']</t>
  </si>
  <si>
    <t>Cookies moelleux banane avoine et fruits secs.html</t>
  </si>
  <si>
    <t>['1  banane(s)', "50 g flocons d'avoine", '20 g fruits secs']</t>
  </si>
  <si>
    <t>Crème banane avocat citron.html</t>
  </si>
  <si>
    <t>['½  banane(s)', '½  avocat(s)', '½  citron(s)']</t>
  </si>
  <si>
    <t>Crème de banane (au lait infantile).html</t>
  </si>
  <si>
    <t>['1 petite(s) banane(s)', '30 mL eau', '3 mesurettes lait infantile', '1 c. à café jus de citron']</t>
  </si>
  <si>
    <t>Crème de banane et cerises.html</t>
  </si>
  <si>
    <t>['1  petit-suisse', '½  banane(s)', '5  cerises']</t>
  </si>
  <si>
    <t>Crème de corossol et citron vert.html</t>
  </si>
  <si>
    <t>['100 g corossol', '½  citron vert']</t>
  </si>
  <si>
    <t>Crème de riz à la poire.html</t>
  </si>
  <si>
    <t>['15 g riz rond', '1  poire(s)', '150 mL lait', '¼ gousse(s)  vanille']</t>
  </si>
  <si>
    <t>Crème de sapote noire.html</t>
  </si>
  <si>
    <t>['1  sapote(s) noire(s)']</t>
  </si>
  <si>
    <t>Crème dessert (au lait infantile).html</t>
  </si>
  <si>
    <t>['150 mL eau', '5 mesurettes lait infantile', '1 c. à café fécule de maïs', '¼ gousse vanille']</t>
  </si>
  <si>
    <t>Crème dessert coco litchi.html</t>
  </si>
  <si>
    <t>['150 g litchis', '80 g crème de coco', '1 g agar-agar']</t>
  </si>
  <si>
    <t>Crêpes aux graines de chia et coco (sans oeuf).html</t>
  </si>
  <si>
    <t>['2 c. à soupe graines de chia', '3 c. à soupe eau', '1 c. à soupe huile de coco', '2 c. à soupe farine de coco', '200 g farine', '500 mL lait']</t>
  </si>
  <si>
    <t>Cupcakes banane myrtilles.html</t>
  </si>
  <si>
    <t>['100 g farine', '2  oeuf(s)', '1  banane(s)', '50 g myrtilles', '2 pincée(s) vanille en poudre', '10 cL crème liquide', '60 g mascarpone']</t>
  </si>
  <si>
    <t>Délice façon cheesecake au citron.html</t>
  </si>
  <si>
    <t>['2  biscuit(s) pour bébé', '100 g fromage blanc', '½  citron(s)']</t>
  </si>
  <si>
    <t>Donuts pomme cannelle.html</t>
  </si>
  <si>
    <t>['150 mL jus de pommes', "140 g farine d'épeautre", '50 g compote de pommes', '30 g huile(s) végétale(s)', '1 c. à café poudre à lever', '1 pincée vanille', '1 pincée cannelle']</t>
  </si>
  <si>
    <t>Douceur de potiron et pomme à la cannelle.html</t>
  </si>
  <si>
    <t>['200 g potiron', '3  pomme(s)', '1 c. à café cannelle', '¼ gousse vanille']</t>
  </si>
  <si>
    <t>Duo mangue – coco.html</t>
  </si>
  <si>
    <t>['100 g fromage blanc', '100 g mangue', '1 c. à soupe noix de coco râpée']</t>
  </si>
  <si>
    <t>Energy balls aux abricots amande et coco.html</t>
  </si>
  <si>
    <t>['100 g abricot(s) sec(s)', '50 g amandes', '25 g noix de coco râpée']</t>
  </si>
  <si>
    <t>Energy balls aux pruneaux et avoine.html</t>
  </si>
  <si>
    <t>['100 g pruneau(x)', '50 g noisettes', "25 g flocons d'avoine"]</t>
  </si>
  <si>
    <t>Energy balls canneberge cajou.html</t>
  </si>
  <si>
    <t>['100 g canneberges séchées', '50 g noix de cajou', '  noix de coco râpée']</t>
  </si>
  <si>
    <t>Energy balls papaye coco.html</t>
  </si>
  <si>
    <t>['100 g papaye(s)', '40 g noix de coco râpée', "40 g flocons d'avoine", "1 c. à soupe purée d'oléagineux"]</t>
  </si>
  <si>
    <t>Energy bowl à la banane.html</t>
  </si>
  <si>
    <t>['½  banane(s)', '100 g yaourt', "25 g flocons d'avoine", '1 c. à café purée de cacahuètes']</t>
  </si>
  <si>
    <t>Esquimaux aux framboises (glaces).html</t>
  </si>
  <si>
    <t>['3  petit-suisse', '100 g framboises']</t>
  </si>
  <si>
    <t>Esquimaux mangue kiwi.html</t>
  </si>
  <si>
    <t>['100 g kiwi', '100 g mangue']</t>
  </si>
  <si>
    <t>Esquimaux pèche abricot (glaces).html</t>
  </si>
  <si>
    <t>['60 mL lait entier ', '50 g abricot(s)', '50 g pêche(s)']</t>
  </si>
  <si>
    <t>Far breton aux abricots secs.html</t>
  </si>
  <si>
    <t>['250 mL lait', '200 g abricot(s) sec(s)', '2  oeuf(s)', '50 g farine']</t>
  </si>
  <si>
    <t>Flan coco-vanille (ou cacao).html</t>
  </si>
  <si>
    <t>['240 mL eau', '8 mesurettes lait infantile', '1 g agar-agar', '  crème de coco', '  arôme au choix : vanille, cacao (non sucré) ou caroube en poudre']</t>
  </si>
  <si>
    <t>Fondant à la sapote noire.html</t>
  </si>
  <si>
    <t>['150 g sapote(s) noire(s)', '1  oeuf(s)', '40 g farine']</t>
  </si>
  <si>
    <t>Fraises en morceaux.html</t>
  </si>
  <si>
    <t>['2  fraises']</t>
  </si>
  <si>
    <t>Fromage blanc coco &amp; coulis passion.html</t>
  </si>
  <si>
    <t>['2 c. à soupe fromage blanc', '1 c. à café noix de coco râpée', '½  fruit(s) de la passion']</t>
  </si>
  <si>
    <t>Fruits de Noël.html</t>
  </si>
  <si>
    <t>['1  kiwi(s)', '1  kaki(s)', '1  mangue', '10 g noix de coco râpée']</t>
  </si>
  <si>
    <t>Gâteau à la grenade.html</t>
  </si>
  <si>
    <t>['250 g compote pomme grenade', '80 g farine', '2  oeuf(s)', '1 c. à café poudre à lever', "½ c. à café fleur d'oranger"]</t>
  </si>
  <si>
    <t>Gâteau banane ti’son (à la farine de maïs).html</t>
  </si>
  <si>
    <t>['2  banane(s)', '100 g fromage blanc', '50 g farine de maïs', '  vanille']</t>
  </si>
  <si>
    <t>Gâteau chouchou banane.html</t>
  </si>
  <si>
    <t>['½  chayote(s)', '1  banane(s)', '1  oeuf(s)', '25 g beurre', '1 c. à soupe farine', '½ gousse(s) vanille']</t>
  </si>
  <si>
    <t>Gâteau fondant au potimarron.html</t>
  </si>
  <si>
    <t>['500 g potimarron', '130 mL lait', '100 g farine semi-complète', '2  oeuf(s)', '5  dattes', '1 c. à café poudre à lever', "½ c. à café mélange à pain d'épices", '10 cL crème liquide', '60 g mascarpone', '1 pincée vanille en poudre']</t>
  </si>
  <si>
    <t>Gâteau patate à la vanille.html</t>
  </si>
  <si>
    <t>['250 g patate(s) douce(s)', '1  oeuf(s)', '½ gousse(s) vanille']</t>
  </si>
  <si>
    <t>Gâteaux aux amandes et groseilles.html</t>
  </si>
  <si>
    <t>['100 g farine', "50 g poudre d'amandes", '1  oeuf(s)', '10 cl lait', '20 g beurre', '1 c. à café poudre à lever', '125 g groseilles']</t>
  </si>
  <si>
    <t>Gaufres à l’orange.html</t>
  </si>
  <si>
    <t>['130 g farine', '100 g compote de pommes', '1  orange(s)', '60 mL lait', '1 c. à café huile(s) végétale(s)', '1 c. à café poudre à lever']</t>
  </si>
  <si>
    <t>Gaufres à la banane (sans oeuf).html</t>
  </si>
  <si>
    <t>['1  banane', '75 g farine', '100 mL lait', '1 c. à café huile(s) végétale(s)', '1 pincée(s) poudre à lever']</t>
  </si>
  <si>
    <t>Gaufres à la compote de pommes.html</t>
  </si>
  <si>
    <t>['100 g compote de pommes', '200 g farine', '200 mL lait', '1 c. à café poudre à lever', '1 c. à soupe huile de tournesol', '1 pincée cannelle']</t>
  </si>
  <si>
    <t>Gaufres pomme rhubarbe.html</t>
  </si>
  <si>
    <t>['150 g compote pomme rhubarbe', '100 g farine', '2  oeuf(s)', '1 c. à café poudre à lever', '1 pincée(s) vanille']</t>
  </si>
  <si>
    <t>Gaufres sucrées aux haricots rouges.html</t>
  </si>
  <si>
    <t>["100 g flocons d'avoine", '100 g haricots rouges', '50 g farine', '20 cL lait', '1 c. à café poudre à lever', "1 c. à café purée d'oléagineux", "1 c. à soupe fleur d'oranger", '1 c. à soupe miel']</t>
  </si>
  <si>
    <t>Glace 100% banane (nicecream).html</t>
  </si>
  <si>
    <t>Glace au corossol.html</t>
  </si>
  <si>
    <t>['500 g corossol']</t>
  </si>
  <si>
    <t>Glace banane framboises.html</t>
  </si>
  <si>
    <t>['100 g banane(s)', '50 g framboises', '30 mL lait']</t>
  </si>
  <si>
    <t>Glace mangue coco.html</t>
  </si>
  <si>
    <t>['150 g mangue', '50 mL lait de coco']</t>
  </si>
  <si>
    <t>Glaces au melon.html</t>
  </si>
  <si>
    <t>['100 g melon']</t>
  </si>
  <si>
    <t>Glaces aux fruits (petits sorbets).html</t>
  </si>
  <si>
    <t>['100 g fruits frais de saison']</t>
  </si>
  <si>
    <t>Kiwi en morceaux.html</t>
  </si>
  <si>
    <t>['1  kiwi(s)']</t>
  </si>
  <si>
    <t>La banane écrasée révèle tous ses bienfaits !.html</t>
  </si>
  <si>
    <t>['1  banane(s)', '1 pincée(s) cannelle']</t>
  </si>
  <si>
    <t>Lassi mangue (au lait infantile).html</t>
  </si>
  <si>
    <t>['100 g mangue', '1 c. à soupe eau', '1 c. à soupe crème de coco', '2 mesurettes lait infantile']</t>
  </si>
  <si>
    <t>Madeleines à la pêche.html</t>
  </si>
  <si>
    <t>['2  oeuf(s)', '100 g farine', '1  banane(s)', '50 g compote de pêches', '1 pincée(s) vanille en poudre', '1 c. à café poudre à lever']</t>
  </si>
  <si>
    <t>Madeleines banane pomme et vanille.html</t>
  </si>
  <si>
    <t>['2  oeuf(s)', '100 g farine', '1  banane(s)', '50 g compote de pommes', '1 pincée(s) vanille']</t>
  </si>
  <si>
    <t>Mangue en morceaux.html</t>
  </si>
  <si>
    <t>['100 g mangue']</t>
  </si>
  <si>
    <t>Melon en morceaux.html</t>
  </si>
  <si>
    <t>['  melon']</t>
  </si>
  <si>
    <t>Milkshake à la framboise.html</t>
  </si>
  <si>
    <t>['150 mL lait', '50 g framboises congelées']</t>
  </si>
  <si>
    <t>Milkshake d’automne à la banane.html</t>
  </si>
  <si>
    <t>['150 mL lait', '½  banane(s)', '2  dattes', '1 c. à café cacao en poudre', '1 c. à café purée de noisettes', '½ c. à café cannelle']</t>
  </si>
  <si>
    <t>Milkshake mangue banane et curcuma.html</t>
  </si>
  <si>
    <t>['1  banane(s)', '200 g mangue', '1 c. à café curcuma', '200 mL lait']</t>
  </si>
  <si>
    <t>Milkshake mangue framboises.html</t>
  </si>
  <si>
    <t>['200 g mangue', '200 g framboises', '200 mL lait']</t>
  </si>
  <si>
    <t>Milkshake passion banane coco.html</t>
  </si>
  <si>
    <t>['½  banane(s)', '1  fruit(s) de la passion', '1 c. à soupe lait de coco', '100 mL lait']</t>
  </si>
  <si>
    <t>Mille-feuille fondant aux pommes.html</t>
  </si>
  <si>
    <t>['1  pomme(s)', '1  oeuf(s)', '85 g farine', '½ sachet(s) poudre à lever', '10 g cassonade', '85 g fromage blanc']</t>
  </si>
  <si>
    <t>Mini cakes au pamplemousse.html</t>
  </si>
  <si>
    <t>['1  oeuf(s)', '85 g farine', '30 g cassonade', '85 g fromage blanc', '½ sachet(s) poudre à lever', '½  pamplemousse']</t>
  </si>
  <si>
    <t>Mini financiers pistaches abricots.html</t>
  </si>
  <si>
    <t>['100 g compote de pommes', "100 g compote d'abricots", '60 g farine', '50 g pistaches', '40 g huile(s) végétale(s)', '40 mL lait', '1 c. à café poudre à lever']</t>
  </si>
  <si>
    <t>Mini financiers pomme banane orange.html</t>
  </si>
  <si>
    <t>['2  oeuf(s)', '100  farine', '1  orange(s)', '1  banane(s)', '50 g compote de pommes', '20 g huile(s) végétale(s)', '1 c. à café poudre à lever']</t>
  </si>
  <si>
    <t>Moelleux au chocolat et courgette.html</t>
  </si>
  <si>
    <t>['200 g chocolat noir', '1  courgette(s)', '3  oeuf(s)', '50 g cassonade', '80 g farine', '½ sachet(s) poudre à lever']</t>
  </si>
  <si>
    <t>Mon premier esquimau (glace à la fraise).html</t>
  </si>
  <si>
    <t>['3  petit-suisse(s)', '100 g fraises']</t>
  </si>
  <si>
    <t>Mousse au chocolat (sans oeufs).html</t>
  </si>
  <si>
    <t>['100 mL jus de pois chiches', '2 c. à soupe purée de noisettes', '1 c. à café cacao en poudre', '20 g sucre']</t>
  </si>
  <si>
    <t>Mousse de fruit de la passion.html</t>
  </si>
  <si>
    <t>['125 g crème liquide', '100 g lait concentré non sucré', '4  fruit(s) de la passion', '10 g jus de citron', '1 feuille(s) gélatine']</t>
  </si>
  <si>
    <t>Muffins à la courge et aux épices.html</t>
  </si>
  <si>
    <t>['200 g courge', '125 g farine', '2  oeuf(s)', '70 g huile(s) végétale(s)', "50 g sirop d'agave", '40 g noisettes en poudre', '½ sachet(s) poudre à lever', '1 c. à café cannelle', '1 pincée muscade moulue']</t>
  </si>
  <si>
    <t>Muffins aux clémentines.html</t>
  </si>
  <si>
    <t>['1  clémentine(s)', "55 g poudre d'amandes", '50 g compote de pommes', '1  oeuf(s)', '40 g huile(s) végétale(s)', '40 g farine', '1 c. à café poudre à lever']</t>
  </si>
  <si>
    <t>Muffins aux framboises et aux amandes.html</t>
  </si>
  <si>
    <t>['75 g farine ', "40 g poudre d'amandes", '1  oeuf(s)', '30 mL lait', '20 g huile(s) végétale(s)', '½ sachet(s) poudre à lever', '½  banane(s)', '2 poignée(s) framboises', '1 poignée(s) amandes effilées']</t>
  </si>
  <si>
    <t>Muffins banane myrtilles.html</t>
  </si>
  <si>
    <t>['100 g farine', '2  oeuf(s)', '50 g myrtilles', '1  banane(s)', '1 c. à café poudre à lever', '1 pincée(s) vanille en poudre']</t>
  </si>
  <si>
    <t>Muffins canneberges citron pavot.html</t>
  </si>
  <si>
    <t>['125 g canneberges', '100 mL lait', '100 g farine', '2  oeuf(s)', '½  citron(s)', "50 g poudre d'amandes", '20 g beurre', '2 c. à café graines de pavot', '1 c. à café poudre à lever']</t>
  </si>
  <si>
    <t>Muffins de banane plantain.html</t>
  </si>
  <si>
    <t>['2  banane(s) plantain', '3  oeuf(s)', '120 g farine de maïs', "60 g farine d'avoine", '3 c. à soupe huile(s) végétale(s)', '1 c. à café poudre à lever', '1 pincée vanille en poudre', "  flocons d'avoine"]</t>
  </si>
  <si>
    <t>Muffins fondants ananas carotte et cannelle.html</t>
  </si>
  <si>
    <t>['125 g compote pomme ananas', '100 g carotte(s)', '90 g farine', '60 mL lait', "45 g flocons d'avoine", '40 g huile(s) végétale(s)', '1 c. à café poudre à lever', '1 pincée(s) cannelle']</t>
  </si>
  <si>
    <t>Muffins pomme amandes.html</t>
  </si>
  <si>
    <t>['100 g compote de pommes', "25 g poudre d'amandes", '25 g farine', '20 g beurre', '1 c. à café poudre à lever']</t>
  </si>
  <si>
    <t>Muffins pomme rhubarbe.html</t>
  </si>
  <si>
    <t>Muffins sans oeufs aux mirabelles.html</t>
  </si>
  <si>
    <t>['150 g mirabelles', '60 mL lait', '60 g farine', '50 g compote de pommes', '1 c. à café huile(s) végétale(s)', '1 c. à café poudre à lever', '1 pincée(s) vanille']</t>
  </si>
  <si>
    <t>Oeufs de Pâques pour bébé (energy balls).html</t>
  </si>
  <si>
    <t>['10  dattes', '1 c. à soupe purée de noisettes', '1 c. à soupe compote de pommes', "4 c. à soupe flocons d'avoine", '2 c. à soupe noix de coco râpée']</t>
  </si>
  <si>
    <t>Oursons à la caroube.html</t>
  </si>
  <si>
    <t>['2  oeuf(s)', '100 g compote de pommes', '70 g farine', '40 mL huile(s) végétale(s)', '25 mL lait', '15 g poudre de caroube', '½ c. à soupe poudre à lever', '1 pincée(s) vanille en poudre']</t>
  </si>
  <si>
    <t>Pains d’épices fondants à la pomme et noisettes.html</t>
  </si>
  <si>
    <t>['2  pomme(s)', '50 g noisettes en poudre', '50 g farine', '2 c. à soupe huile(s) végétale(s)', '2 c. à café poudre à lever', '1 c. à café épices']</t>
  </si>
  <si>
    <t>Pancakes à la banane (sans oeufs).html</t>
  </si>
  <si>
    <t>['2  banane(s)', '125 g farine', '100 mL lait', '1 c. à café huile(s) végétale(s)']</t>
  </si>
  <si>
    <t>Pancakes aux épinards pour bébé et grands (super facile).html</t>
  </si>
  <si>
    <t>['100 g flocons d’avoine', '30 g pousses d’épinards', '1  banane(s)', '100 mL lait', '1  oeuf(s)', '1 pincée(s) cannelle', '1 pincée(s) vanille en poudre', '1 c. à café poudre à lever']</t>
  </si>
  <si>
    <t>Pancakes poire noix de pécan.html</t>
  </si>
  <si>
    <t>['2  poire(s)', '1  oeuf(s)', "30 g flocons d'avoine", "15 g poudre d'amandes", '15 g noix de pécan', '1 c. à soupe fécule de maïs', '1 c. à café poudre à lever']</t>
  </si>
  <si>
    <t>Pancakes sans oeuf à la poire.html</t>
  </si>
  <si>
    <t>['100 g poire(s)', '60 g farine', '40 mL lait', '1 c. à café huile(s) végétale(s)', '1 pincée(s) vanille']</t>
  </si>
  <si>
    <t>Panna cotta (au lait infantile).html</t>
  </si>
  <si>
    <t>['250 mL eau', '8 mesurettes lait infantile', '¼ c. à café agar-agar', '¼  gousse de vanille', '100 g compote de framboises']</t>
  </si>
  <si>
    <t>Papaye en morceaux.html</t>
  </si>
  <si>
    <t>['100 g papaye(s)']</t>
  </si>
  <si>
    <t>Pastèque à picorer.html</t>
  </si>
  <si>
    <t>['  pastèque']</t>
  </si>
  <si>
    <t>Pâte à crêpes (pour bébé et toute la famille).html</t>
  </si>
  <si>
    <t>['80 g farine', '1  oeuf(s)', '10 g beurre', '150 ml lait']</t>
  </si>
  <si>
    <t>Pâtes de fruits (sans sucre).html</t>
  </si>
  <si>
    <t>['150 g fruits frais de saison', '1 g agar-agar']</t>
  </si>
  <si>
    <t>Pêche en morceaux.html</t>
  </si>
  <si>
    <t>['1  pêche(s)']</t>
  </si>
  <si>
    <t>Perles du japon à la vanille (au lait infantile).html</t>
  </si>
  <si>
    <t>['20 g perles du japon', '250 mL eau', '8 mesurettes lait infantile', '½ gousse(s) vanille']</t>
  </si>
  <si>
    <t>Perles du japon coco-fraises.html</t>
  </si>
  <si>
    <t>['100 mL lait de coco', '100 mL lait', '10 g perles du japon', '1 poignée(s) fraises']</t>
  </si>
  <si>
    <t>Petits boudoirs pour bébé.html</t>
  </si>
  <si>
    <t>['150 g farine', '1  oeuf(s)', '50 g beurre', '40 g sucre de canne']</t>
  </si>
  <si>
    <t>Petits flans façon “pumpkin pie”.html</t>
  </si>
  <si>
    <t>['100 g potiron', '1  pomme(s)', '50 mL lait', '1  oeuf(s)', '1 c. à soupe fécule de maïs', '1 c. à café cannelle', '¼ gousse vanille']</t>
  </si>
  <si>
    <t>Poire en morceaux.html</t>
  </si>
  <si>
    <t>['1  poire(s)']</t>
  </si>
  <si>
    <t>Pomme cuite à la cannelle.html</t>
  </si>
  <si>
    <t>Pomme en morceaux.html</t>
  </si>
  <si>
    <t>['1  pomme']</t>
  </si>
  <si>
    <t>Porridge pour bébé (et toute la famille).html</t>
  </si>
  <si>
    <t>["30 g flocons d'avoine", '200 mL lait']</t>
  </si>
  <si>
    <t>Pruneaux lactés (au lait infantile).html</t>
  </si>
  <si>
    <t>['2  pruneaux', '90 mL eau', '3 mesurettes lait infantile', '1 c. à café fécule de maïs']</t>
  </si>
  <si>
    <t>Pudding de chia aux pêches.html</t>
  </si>
  <si>
    <t>['1 c. à soupe  graines de chia', '1 c. à soupe noix de coco râpée', '100 mL lait', '½  pêche']</t>
  </si>
  <si>
    <t>Pumpkin biscuits.html</t>
  </si>
  <si>
    <t>['120 g noisettes en poudre', '120 g purée de courge', '½ c. à café cannelle']</t>
  </si>
  <si>
    <t>Pumpkin Pie (tarte à la citrouille).html</t>
  </si>
  <si>
    <t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</si>
  <si>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>Pumpkin spice cookies.html</t>
  </si>
  <si>
    <t>["130 g flocons d'avoine", '120 g purée de courge', '1  banane(s)', '60 g purée d’amandes', '30 g pépites de chocolat', "½ c. à café mélange à pain d'épices"]</t>
  </si>
  <si>
    <t>Pumpkin spice milk.html</t>
  </si>
  <si>
    <t>['240 mL lait', '50 g purée de courge', "1 c. à café sirop d'érable", "½ c. à café mélange à pain d'épices"]</t>
  </si>
  <si>
    <t>Quatre-quarts citron pavot.html</t>
  </si>
  <si>
    <t>['1  oeuf(s)', '85 g farine', '85 g cassonade', '85 g fromage blanc', '½ sachet(s) poudre à lever', '1  citron(s)', '1 c. à soupe graines de pavot']</t>
  </si>
  <si>
    <t>Raisin en morceaux.html</t>
  </si>
  <si>
    <t>['5 grains raisins']</t>
  </si>
  <si>
    <t>Riz au lait pour bébé (et toute la famille).html</t>
  </si>
  <si>
    <t>['50 g riz rond', '500 mL lait', '1 gousse(s) vanille', '  compote de fruits']</t>
  </si>
  <si>
    <t>Sablés à la mangue.html</t>
  </si>
  <si>
    <t>['200 g farine', "25 g poudre d'amandes", '80 g beurre', '50 g sucre glace', '1  oeuf(s)', '100 g mangue']</t>
  </si>
  <si>
    <t>Sablés au citron.html</t>
  </si>
  <si>
    <t>['200 g farine', "25 g poudre d'amandes", '80 g beurre', '50 g sucre', '1  oeuf(s)', '1  citron(s)']</t>
  </si>
  <si>
    <t>Sablés aux framboises.html</t>
  </si>
  <si>
    <t>['200 g farine', '100 g framboises', '80 g beurre', '50 g sucre', "25 g poudre d'amandes", '1  oeuf(s)']</t>
  </si>
  <si>
    <t>Salade fraises et basilic.html</t>
  </si>
  <si>
    <t>['1 poignée(s) fraises', '1 feuille(s) basilic']</t>
  </si>
  <si>
    <t>Sapins moelleux aux épices et à la courge.html</t>
  </si>
  <si>
    <t>['150 g farine', '125 g courge', "50 g poudre d'amandes", '50 g compote de pommes', '10 g huile(s) végétale(s)', '½ c. à café bicarbonate de soude alimentaire', '½ c. à café cannelle', '1 pincée gingembre', "  purée d'oléagineux"]</t>
  </si>
  <si>
    <t>Semoule au lait pour bébé (et toute la famille).html</t>
  </si>
  <si>
    <t>['30 g semoule fine', '300 mL lait', '½ gousse(s) vanille']</t>
  </si>
  <si>
    <t>Smoothie ananas banane tangor.html</t>
  </si>
  <si>
    <t>['50 g ananas', '50 g banane(s)', '½  tangor', '50 mL eau']</t>
  </si>
  <si>
    <t>Smoothie banane mangue orange.html</t>
  </si>
  <si>
    <t>['½  banane(s)', '50 g mangue', '½  orange(s)']</t>
  </si>
  <si>
    <t>Smoothie bowl à la fraise.html</t>
  </si>
  <si>
    <t>['½  banane', '5  fraises', '1 c. à soupe flocons d’avoine', '1 c. à café noix de coco râpée', '½ c. à café purée d’amandes']</t>
  </si>
  <si>
    <t>Smoothie grenade clémentine et canneberges.html</t>
  </si>
  <si>
    <t>['1  grenade', '200 g canneberges', '1  clémentine', '2 c. à soupe jus de citron']</t>
  </si>
  <si>
    <t>Smoothie grenade pamplemousse aux amandes.html</t>
  </si>
  <si>
    <t>['1  grenade', '1  banane(s)', '1  pamplemousse', "25 g poudre d'amandes"]</t>
  </si>
  <si>
    <t>Sorbets à l’ananas (glaces).html</t>
  </si>
  <si>
    <t>['100 g ananas']</t>
  </si>
  <si>
    <t>Sorbets pomme rhubarbe (glaces).html</t>
  </si>
  <si>
    <t>Soupe de pastèque à la framboise.html</t>
  </si>
  <si>
    <t>['80 g pastèque', '8  framboises']</t>
  </si>
  <si>
    <t>Suprêmes d’orange.html</t>
  </si>
  <si>
    <t>['1  orange(s)']</t>
  </si>
  <si>
    <t>Suprêmes de pamplemousse.html</t>
  </si>
  <si>
    <t>['1  pamplemousse']</t>
  </si>
  <si>
    <t>Tartare de mangue et crème à la vanille.html</t>
  </si>
  <si>
    <t>['100 g mangue', '100 g crème à la vanille']</t>
  </si>
  <si>
    <t>Tarte fine aux pommes (petits poissons).html</t>
  </si>
  <si>
    <t>['100 g farine', '2 c. à soupe huile(s) végétale(s)', '40 mL eau tiède', '100 g compote de pommes', '1  pomme(s)', '  cannelle', '2  raisins secs']</t>
  </si>
  <si>
    <t>Tiramisu aux framboises.html</t>
  </si>
  <si>
    <t>['2  biscuit(s) pour bébé', '1  petit-suisse', '1 c. à café mascarpone', '10  framboises', '  vanille en poudre']</t>
  </si>
  <si>
    <t>Velouté de pêche, amande et avoine.html</t>
  </si>
  <si>
    <t>['1  pêche(s)', "1 c. à café poudre d'amandes", "1 c. à café flocons d'avoine", '50 mL eau']</t>
  </si>
  <si>
    <t>Virgin pina colada🍹.html</t>
  </si>
  <si>
    <t>['80 g ananas', '20 mL lait de coco', '1  glaçon']</t>
  </si>
  <si>
    <t>Yaourts aromatisés.html</t>
  </si>
  <si>
    <t>['1  yaourt nature', '1  arôme au choix ⬇️']</t>
  </si>
  <si>
    <t>Yaourts maison.html</t>
  </si>
  <si>
    <t>['1 L lait entier', '1 sachet(s) ferments lactiques']</t>
  </si>
  <si>
    <t>Asperges blanches, pommes de terre.html</t>
  </si>
  <si>
    <t>['130 g asperge(s) blanche(s)', '120 g pomme(s) de terre', '1 c. à café huile(s) végétale(s)']</t>
  </si>
  <si>
    <t>Aubergines façon « baba ganoush ».html</t>
  </si>
  <si>
    <t>['½  aubergine(s)', '½  citron(s)', '½ gousse ail', '1 c. à café huile de sésame', "1 c. à café huile d'olive"]</t>
  </si>
  <si>
    <t>Avocat au citron, pommes de terre et endives braisées au saumon.html</t>
  </si>
  <si>
    <t>['100 g endive(s)', '60 g pomme(s) de terre', '½  avocat(s)', '½  citron(s)', '20 g saumon', "1 c. à soupe huile d'olive"]</t>
  </si>
  <si>
    <t>Bâtonnets de betterave, avoine et pois chiche.html</t>
  </si>
  <si>
    <t>['100 g betterave(s)', "30 g flocons d'avoine", '20 g pois chiches', '  herbes aromatiques', '1 c. à café huile(s) végétale(s)']</t>
  </si>
  <si>
    <t>Bâtonnets de carotte et boulettes de boeuf aux herbes de Provence.html</t>
  </si>
  <si>
    <t>['200 g carotte(s)', '10 g boeuf haché', '¼ c. à café herbes de Provence']</t>
  </si>
  <si>
    <t>Bâtonnets de carotte sauce fromage blanc curry.html</t>
  </si>
  <si>
    <t>['200 g carotte(s)', '30 g fromage blanc', '¼ c. à café curry']</t>
  </si>
  <si>
    <t>Bâtonnets de carottes et crème de betterave.html</t>
  </si>
  <si>
    <t>['150 g carotte(s)', '50 g betterave(s)', '1 c. à café crème fraîche']</t>
  </si>
  <si>
    <t>Bâtonnets de carottes et crème de petits pois.html</t>
  </si>
  <si>
    <t>['150 g carotte(s)', '50 g petits pois', '1 c. à café crème fraîche', '  craquotte(s)']</t>
  </si>
  <si>
    <t>Bâtonnets de carottes et sauce à l’orange.html</t>
  </si>
  <si>
    <t>['200 g carotte(s)', '30 g fromage blanc', "  zestes d'orange"]</t>
  </si>
  <si>
    <t>Bâtonnets de navet au sésame.html</t>
  </si>
  <si>
    <t>['200 g navet(s)', '1 c. à café graines de sésame']</t>
  </si>
  <si>
    <t>Bâtonnets de panais et crème de champignons.html</t>
  </si>
  <si>
    <t>['150 g panais', '50 g champignons', '1 c. à café crème fraîche', '  persil']</t>
  </si>
  <si>
    <t>Bâtonnets de panais et crème de poireaux au saumon.html</t>
  </si>
  <si>
    <t>['150 g panais', '50 g blanc(s) de poireau', '10 g saumon', '1 c. à café crème fraîche']</t>
  </si>
  <si>
    <t>Bâtonnets de panais pané.html</t>
  </si>
  <si>
    <t>['300 g panais', '  chapelure', '  huile(s) végétale(s)']</t>
  </si>
  <si>
    <t>Betterave et chou vert farçi aux légumes.html</t>
  </si>
  <si>
    <t>['60 g betterave(s)', '50 g chou vert', '25 g patate(s) douce(s)', '25 g carotte(s)', '25 g poireau(x)', '¼  oignon(s)', '1 c. à café huile(s) végétale(s)', ' pincée bicarbonate de soude alimentaire']</t>
  </si>
  <si>
    <t>Betterave et pomme à la semoule.html</t>
  </si>
  <si>
    <t>['100 g betterave(s)', '½  pomme(s)', '50 g semoule de couscous', '1 c. à café huile(s) végétale(s)']</t>
  </si>
  <si>
    <t>Biscuits apéritifs maïs combava.html</t>
  </si>
  <si>
    <t>['50 g farine de maïs', '2 c. à soupe huile d’olive', '20 mL eau', '  zeste de combava']</t>
  </si>
  <si>
    <t>Blanc de poireau à la semoule et filet de merlan.html</t>
  </si>
  <si>
    <t>['150 g poireau(x)', '25 g semoule de couscous', '1 c. à café huile(s) végétale(s)', '  persil', '20 g merlan']</t>
  </si>
  <si>
    <t>Blancs de poireau à la semoule.html</t>
  </si>
  <si>
    <t>['150 g poireau(x)', '25 g semoule de couscous', '1 c. à café huile(s) végétale(s)', '  persil']</t>
  </si>
  <si>
    <t>Blanquette de cabillaud (mouliné).html</t>
  </si>
  <si>
    <t>['20 g riz', '20 g cabillaud', '80 g carotte(s)', '80 g champignons', '1 c. à soupe crème']</t>
  </si>
  <si>
    <t>Blanquette de cabillaud.html</t>
  </si>
  <si>
    <t>['20 g riz', '20 g cabillaud', '100 g carotte(s)', '80 g champignons', '1 c. à soupe crème']</t>
  </si>
  <si>
    <t>Blanquette de dinde.html</t>
  </si>
  <si>
    <t>['20 g riz', '20 g dinde', '100 g carotte(s)', '80 g champignons', '¼  oignon(s)', '1 c. à café crème fraîche', '1 pincée thym']</t>
  </si>
  <si>
    <t>Blanquette de veau.html</t>
  </si>
  <si>
    <t>['120 g carotte(s)', '70 g champignons de Paris', '20 g riz', '20 g veau', '½  oignon(s)', '1 c. à café crème', '½ gousse ail', "1 c. à café huile d'olive", 'quelques feuilles persil']</t>
  </si>
  <si>
    <t>Blinis au sarrasin et mousse de betterave.html</t>
  </si>
  <si>
    <t>['150 g yaourt grec', '100 g farine de sarrasin', '1  oeuf(s)', '1 c. à soupe huile(s) végétale(s)', '1 c. à café poudre à lever', '  aneth', '100 g betterave(s)', '80 g mascarpone']</t>
  </si>
  <si>
    <t>Blinis épinards et sarrasin.html</t>
  </si>
  <si>
    <t>["30 g pousses d'épinards", '30 g farine de sarrasin', '50 mL eau', '1 c. à café huile d’olive']</t>
  </si>
  <si>
    <t>Blinis express (trop facile !).html</t>
  </si>
  <si>
    <t>['30 g farine', '1 c. à café huile(s) végétale(s)', '50 mL lait']</t>
  </si>
  <si>
    <t>Boeuf en sauce façon parmentier à la patate douce.html</t>
  </si>
  <si>
    <t>['130 g patate(s) douce(s)', '20 g boeuf', '25 g coulis de tomates', '25 g céleri-branche', '¼  oignon(s)', '1 pincée thym', '1 c. à café huile(s) végétale(s)', '  fromage râpé']</t>
  </si>
  <si>
    <t>Boeuf et purée de lentilles corail et carottes au cumin.html</t>
  </si>
  <si>
    <t>['25 g lentilles corail', '200 g carotte(s)', '20 g boeuf', '1 c. à café huile(s) végétale(s)', '1 pincée cumin']</t>
  </si>
  <si>
    <t>Bolognaise végétarienne au chou-fleur.html</t>
  </si>
  <si>
    <t>['100 g chou-fleur', '20 g pâtes', '20 g lentilles corail', '50 mL coulis de tomates', '½  oignon(s)', '1 pincée origan', '100 mL eau', "1 c. à café huile d'olive"]</t>
  </si>
  <si>
    <t>Bonbons réunionnais aux brèdes.html</t>
  </si>
  <si>
    <t>['200 g pois du cap', '40 g feuilles de brèdes triées', '1 c. à soupe  fécule de maïs', '1 c. à café curcuma', '1 c. à café cumin', '1 bout gingembre frais', '1 c. à soupe huile d’olive']</t>
  </si>
  <si>
    <t>Borani aux épinards et tortilla.html</t>
  </si>
  <si>
    <t>['1  oeuf(s)', '100 g pomme(s) de terre', '75 g épinard', '1  petit-suisse', '1 pincée(s) ail', '1 pincée(s) herbes aromatiques', '  citron(s)']</t>
  </si>
  <si>
    <t>Bouchées à la betterave rouge.html</t>
  </si>
  <si>
    <t>['150 g betterave(s)', '1 c. à soupe fécule de maïs', '2 c. à soupe farine', '1 c. à café poudre à lever']</t>
  </si>
  <si>
    <t>Bouchées à la carotte et aux pommes de terre.html</t>
  </si>
  <si>
    <t>['100 g carotte(s)', '100 g pomme(s) de terre', '1  échalote(s)', '1 c. à soupe  farine', '  huile d’olive', '5 brin(s) ciboulette']</t>
  </si>
  <si>
    <t>Bouchées à la courgette.html</t>
  </si>
  <si>
    <t>['100 g courgette(s)', '50 g pomme(s) de terre', '1  oeuf(s)', '1 c. à soupe crème fraîche', '1 c. à soupe farine', '1 filet huile d’olive', '1 c. à café poudre à lever', '  romarin']</t>
  </si>
  <si>
    <t>Bouchées à la patate douce et betterave.html</t>
  </si>
  <si>
    <t>['100 g patate(s) douce(s)', "60 g farine d'épeautre", '60 mL lait', '50 g betterave(s)', '1 c. à café huile(s) végétale(s)', '1 c. à café poudre à lever', '  persil']</t>
  </si>
  <si>
    <t>Bouchées à la patate douce, betterave et boeuf.html</t>
  </si>
  <si>
    <t>['100 g patate(s) douce(s)', "60 g farine d'épeautre", '60 mL lait', '50 g betterave(s)', '10 g boeuf haché', '1 c. à café huile(s) végétale(s)', '1 c. à café poudre à lever', '  persil']</t>
  </si>
  <si>
    <t>Bouchées aux épinards et au jambon.html</t>
  </si>
  <si>
    <t>["100 g pousses d'épinards", '100 g pomme(s) de terre', '2 c. à soupe farine', '1 c. à café huile(s) végétale(s)', '10 g jambon blanc']</t>
  </si>
  <si>
    <t>Bouchées de haricots verts à la ciboulette.html</t>
  </si>
  <si>
    <t>['200 g haricots verts', "50 g flocons d'avoine", '1 c. à café huile(s) végétale(s)', '  ciboulette']</t>
  </si>
  <si>
    <t>Bouchées de haricots verts et ciboulette.html</t>
  </si>
  <si>
    <t>['200 g haricots verts', "60 g flocons d'avoine", '½ gousse(s) ail', '5 brin(s) ciboulette']</t>
  </si>
  <si>
    <t>Bouchées de navet et patate douce au saumon.html</t>
  </si>
  <si>
    <t>['90 g navet(s)', '90 g patate(s) douce(s)', '2 c. à soupe fécule de maïs', '10 g saumon', '1 c. à café huile(s) végétale(s)', '  persil']</t>
  </si>
  <si>
    <t>Bouchées de navet et patate douce.html</t>
  </si>
  <si>
    <t>['90 g navet(s)', '90 g patate(s) douce(s)', '2 c. à soupe fécule de maïs', '1 c. à café huile(s) végétale(s)', '  persil']</t>
  </si>
  <si>
    <t>Bouchées de patate douce et betterave.html</t>
  </si>
  <si>
    <t>['80 g patate douce', '70 g betterave', '1 c. à soupe farine', '1 c. à café huile d’olive']</t>
  </si>
  <si>
    <t>Bouchées fondantes à l’aubergine.html</t>
  </si>
  <si>
    <t>['100 g pomme(s) de terre', '60 g farine', '50 g aubergine(s)', '1 c. à café huile(s) végétale(s)', '1 pincée(s) origan']</t>
  </si>
  <si>
    <t>Bouchées fondantes de butternut au sarrasin.html</t>
  </si>
  <si>
    <t>['170 g butternut', '30 g farine de sarrasin', '1 c. à soupe fécule de maïs', "1 c. à café huile d'olive"]</t>
  </si>
  <si>
    <t>Bouchées fondantes de patate douce et crème d’endives au jambon.html</t>
  </si>
  <si>
    <t>['100 g patate(s) douce(s)', '100 g endive(s)', '40 g farine', '10 g jambon blanc', '1 c. à café huile(s) végétale(s)', '1 c. à café crème fraîche', '1 pincée paprika']</t>
  </si>
  <si>
    <t>Bouchées fondantes de patate douce et crème d’endives.html</t>
  </si>
  <si>
    <t>['100 g patate(s) douce(s)', '100 g endive(s)', '40 g farine', '1 c. à café huile(s) végétale(s)', '1 c. à café crème fraîche', '1 pincée(s) paprika', '  persil']</t>
  </si>
  <si>
    <t>Bouillon chinois au poulet et vermicelles.html</t>
  </si>
  <si>
    <t>['10 g vermicelles de riz', '20 g poulet', '40 g chou chinois', '40 g poireau(x)', '30 g carotte(s)', '30 g champignons', '20 g petits pois', '1 bout gingembre frais', '1 pincée coriandre', '1 c. à café huile(s) végétale(s)']</t>
  </si>
  <si>
    <t>Boulettes aux carottes, brocolis et colin.html</t>
  </si>
  <si>
    <t>['50 g pomme(s) de terre', '50 g carotte(s)', '50 g brocoli', '10 g colin', '1 c. à café herbes de Provence', '  chapelure']</t>
  </si>
  <si>
    <t>Boulettes aux haricots rouges et à la sauce tomate.html</t>
  </si>
  <si>
    <t>['120 g haricots rouges', '50 g pulpe de tomates', "30 g flocons d'avoine", '¼  oignon(s)', '1 pincée(s) ail semoule', '  poivre', '  basilic']</t>
  </si>
  <si>
    <t>Boulettes aux légumes d’été.html</t>
  </si>
  <si>
    <t>['100 g courgette(s)', '100 g aubergine(s)', '100 g poivron(s) rouge(s)', '100 g farine', '50 g pulpe de tomates', '1 c. à soupe huile d’olive', '  basilic', '1 c. à café paprika']</t>
  </si>
  <si>
    <t>Boulettes aux légumes et jambon.html</t>
  </si>
  <si>
    <t>["50 g flocons d'avoine", '60 g carotte(s)', '60 g navet(s)', '10 g oignon(s)', '1 pincée graines', '1 pincée herbes aromatiques', "1 c. à café huile d'olive", '15 g jambon blanc']</t>
  </si>
  <si>
    <t>Boulettes aux pommes de terre et navets.html</t>
  </si>
  <si>
    <t>['90 g navet(s)', '90 g pomme(s) de terre', '1 c. à soupe farine', '  chapelure', '  huile d’olive', '5 brin(s) ciboulette']</t>
  </si>
  <si>
    <t>Boulettes courgette aubergine.html</t>
  </si>
  <si>
    <t>['150 g courgette(s)', '60 g farine', '50 g aubergine(s)', '2 c. à soupe huile(s) végétale(s)', '1 pincée(s) origan', '  chapelure']</t>
  </si>
  <si>
    <t>Boulettes d’aubergine sauce au fromage blanc citronné.html</t>
  </si>
  <si>
    <t>['150 g aubergine(s)', '150 g pois chiches', '30 g fromage blanc', '1 c. à soupe jus de citron', '½ c. à café paprika', '1 c. à café huile d’olive']</t>
  </si>
  <si>
    <t>Boulettes d’avoine aux champignons, carottes vapeur.html</t>
  </si>
  <si>
    <t>['120 g carotte(s)', '120 g champignons', "30 g flocons d'avoine", '1 c. à café fécule de maïs', '1 pincée persil', "1 c. à café huile d'olive"]</t>
  </si>
  <si>
    <t>Boulettes d’avoine aux champignons.html</t>
  </si>
  <si>
    <t>['100 g champignons de Paris', "30 g flocons d'avoine", '1 c. à café fécule de maïs', '  persil', '  huile d’olive']</t>
  </si>
  <si>
    <t>Boulettes de boeuf moelleuses.html</t>
  </si>
  <si>
    <t>['100 g boeuf haché', '¼  oignon(s)', '  cumin', '25 g farine', '25 mL lait', '  huile d’olive']</t>
  </si>
  <si>
    <t>Boulettes de brocoli à l’avoine.html</t>
  </si>
  <si>
    <t>['300 g brocoli', '100 g flocons d’avoine', '  coriandre', '  huile d’olive', '  chapelure']</t>
  </si>
  <si>
    <t>Boulettes de cabillaud et millet.html</t>
  </si>
  <si>
    <t>['100 g cabillaud', '30 g millet', '¼  oignon(s)', '  coriandre', '  huile d’olive']</t>
  </si>
  <si>
    <t>Boulettes de courgette et flocons d’avoine.html</t>
  </si>
  <si>
    <t>['100 g courgette(s)', "80 g flocons d'avoine", '1  oeuf(s)', '½ c. à café  curry', '  huile d’olive', '  farine ']</t>
  </si>
  <si>
    <t>Boulettes de courgette petits pois feta et menthe.html</t>
  </si>
  <si>
    <t>['100 g petits pois', '50 g courgette(s)', '50 g farine', '10 g feta', '  menthe', '  chapelure']</t>
  </si>
  <si>
    <t>Boulettes de légumes et tranches d’avocat.html</t>
  </si>
  <si>
    <t>['½  avocat(s)', '30 g carotte(s)', '30 g pomme(s) de terre', '1 c. à soupe fécule de maïs', '  herbes aromatiques', '  chapelure', '  huile(s) végétale(s)']</t>
  </si>
  <si>
    <t>Boulettes de lotte aux légumes, avocat​.html</t>
  </si>
  <si>
    <t>['20 g lotte', '20 g courgette(s)', '20 g poivron(s)', '1  avocat(s)', '  herbes aromatiques', '  chapelure']</t>
  </si>
  <si>
    <t>Boulettes de petits pois au poisson.html</t>
  </si>
  <si>
    <t>['200 g petits pois', '2 c. à soupe polenta', '10 g limande', '1 c. à café huile(s) végétale(s)', '1 pincée(s) origan']</t>
  </si>
  <si>
    <t>Boulettes de petits pois.html</t>
  </si>
  <si>
    <t>['200 g petits pois', '½  échalote(s)', '1 c. à soupe huile d’olive', '2 c. à soupe polenta', '1 pincée(s) muscade moulue', '1 pincée(s) poivre']</t>
  </si>
  <si>
    <t>Boulettes de porc au sésame, purée de fenouil et navet, boulgour.html</t>
  </si>
  <si>
    <t>['90 g fenouil', '90 g navet(s)', '25 g porc', '10 g oignon(s)', '1 c. à café graines de sésame', '1 pincée coriandre', '20 g boulgour', '½  citron(s)', "1 c. à café huile d'olive"]</t>
  </si>
  <si>
    <t>Boulettes de poulet (natures).html</t>
  </si>
  <si>
    <t>['50 g poulet']</t>
  </si>
  <si>
    <t>Boulettes de poulet et butternut.html</t>
  </si>
  <si>
    <t>['100 g poulet', '100 g butternut', '¼  oignon(s)', '  coriandre', '  huile d’olive']</t>
  </si>
  <si>
    <t>Boulettes façon falafels, purée de butternut.html</t>
  </si>
  <si>
    <t>['180 g butternut', '80 g pois chiches', '20 g oignon(s)', '1 c. à café huile de sésame', '1 pincée cumin', '1 pincée herbes aromatiques']</t>
  </si>
  <si>
    <t>Boulgour à la sauce bolognaise.html</t>
  </si>
  <si>
    <t>['20 g boulgour', '120 g tomate(s)', '½  oignon(s) jaune(s)', '½ gousse ail', '1 feuilles basilic', '15 g boeuf haché', '  parmesan', '1 c. à café huile(s) végétale(s)']</t>
  </si>
  <si>
    <t>Boulgour à la sauce tomates et basilic.html</t>
  </si>
  <si>
    <t>['20 g boulgour', '150 g tomate(s)', '1 feuilles basilic', '1 c. à café huile(s) végétale(s)', '½  oignon(s)', '½ gousse ail', '  parmesan']</t>
  </si>
  <si>
    <t>Boulgour au boeuf, poivrons et parmesan.html</t>
  </si>
  <si>
    <t>['20 g boulgour', '200 g poivron(s) rouge(s)', '10 g parmesan', '15 g boeuf haché']</t>
  </si>
  <si>
    <t>Boulgour aux poivrons et parmesan.html</t>
  </si>
  <si>
    <t>['20 g boulgour', '200 g poivron(s) rouge(s)', '10 g parmesan', ' c. à café huile(s) végétale(s)']</t>
  </si>
  <si>
    <t>Butternut et carotte aux amandes et coriandre, riz.html</t>
  </si>
  <si>
    <t>['20 g riz', '75 g butternut', '75 g carotte(s)', '10 g oignon(s)', '1 c. à soupe lait de coco', "2 c. à café poudre d'amandes", '1 pincée coriandre', "1 c. à café huile d'olive", '1 pincée curry']</t>
  </si>
  <si>
    <t>Butternut et coing aux épices.html</t>
  </si>
  <si>
    <t>['160 g butternut', '½  coing(s)', '  épices', '1 c. à café huile(s) végétale(s)']</t>
  </si>
  <si>
    <t>Butternut et riz.html</t>
  </si>
  <si>
    <t>['150 g butternut', '25 g riz', '1 c. à café huile(s) végétale(s)']</t>
  </si>
  <si>
    <t>Butternut rôti aux herbes de Provence.html</t>
  </si>
  <si>
    <t>['200 g butternut', '1 c. à café huile(s) végétale(s)', '1 c. à café herbes de Provence', '1 pincée paprika']</t>
  </si>
  <si>
    <t>Cake au concombre.html</t>
  </si>
  <si>
    <t>['200 g concombre', '100 g farine', '1  oeuf(s)', '60 mL lait', '50 g fromage blanc', '1 c. à café poudre à lever', '1 pincée(s) épices']</t>
  </si>
  <si>
    <t>Cake courgette concombre et poisson.html</t>
  </si>
  <si>
    <t>['100 g courgette(s)', '100 g concombre', '100 g farine', '60 mL lait', '1  oeuf(s)', '20 g poisson blanc', '50 g fromage blanc', '1 c. à soupe huile d’olive', '1 c. à café poudre à lever', '  menthe']</t>
  </si>
  <si>
    <t>Cake courgette feta.html</t>
  </si>
  <si>
    <t>['1  courgette(s)', '1 gousse(s) ail', '100 g farine', '1 c. à café poudre à lever', '1  oeuf(s)', '60 g lait', '75 g feta', '  menthe', '  huile d’olive']</t>
  </si>
  <si>
    <t>Cake façon tomate mozzarella.html</t>
  </si>
  <si>
    <t>['150 g pulpe de tomates', '100 g farine', '50 g fromage blanc', '1  oeuf(s)', '30 g mozzarella', '¼  oignon(s)', '1 c. à café poudre à lever', '1 filet huile d’olive', '  basilic']</t>
  </si>
  <si>
    <t>Cake salé patate chouchou.html</t>
  </si>
  <si>
    <t>['500 g patate(s) douce(s)', '500 g chayote(s)', '80 g farine', '3  oeuf(s)', '40 g beurre', '40 g fromage râpé']</t>
  </si>
  <si>
    <t>Cake sans oeuf au pesto de courgettes et tomates.html</t>
  </si>
  <si>
    <t>['60 mL lait', '60 g farine', '40 g tomate(s)', '40 g courgette(s)', '1 c. à café huile d’olive', '1 c. à café poudre à lever', '  basilic']</t>
  </si>
  <si>
    <t>Cakes de polenta aux épinards et jambon.html</t>
  </si>
  <si>
    <t>['25 g polenta', '65 g épinards', '15 g jambon blanc', '1 c. à café huile(s) végétale(s)']</t>
  </si>
  <si>
    <t>Canard aux pruneaux, pomme de terre écrasée et carotte.html</t>
  </si>
  <si>
    <t>['100 g carotte(s)', '75 g pomme(s) de terre', '20 g canard', '2  pruneau(x)', '1 c. à café huile(s) végétale(s)']</t>
  </si>
  <si>
    <t>Canard et épinards, riz et sa sauce forestière.html</t>
  </si>
  <si>
    <t>['20 g riz', '15 g canard', "50 g pousses d'épinards", '120 g champignons', '1 c. à café crème fraîche', '1  échalote(s)', '  persil']</t>
  </si>
  <si>
    <t>Canard et riz aux pousses d’épinards, sauce forestière.html</t>
  </si>
  <si>
    <t>['20 g riz', '20 g canard', "50 g pousses d'épinards", '125 g champignons', '1 c. à café crème fraîche', '1  échalote(s)', '  persil']</t>
  </si>
  <si>
    <t>Cappuccino de courgettes.html</t>
  </si>
  <si>
    <t>['200 g courgette(s)', '10 g fromage de chèvre', '20 mL lait', '1 c. à café huile(s) végétale(s)', '  herbes aromatiques']</t>
  </si>
  <si>
    <t>Cari bringelle à la créole.html</t>
  </si>
  <si>
    <t>['1  aubergine(s)', '1  tomate(s)', '¼  oignon(s)', '1  oignon(s) vert(s)', '½ gousse ail', '1 bout gingembre frais', '1 pincée cumin', '1 pincée curcuma', '1 pincée thym', '1 c. à café huile d’olive', '  riz', '  légumineuses au choix']</t>
  </si>
  <si>
    <t>Cari d’agneau aux amandes, riz.html</t>
  </si>
  <si>
    <t>['20 g riz', '20 g agneau', '50 g poivron(s) vert(s)', '50 g tomate(s)', '50 g courgette(s)', '20 mL lait de coco', "1 c. à café poudre d'amandes", '1 pincée curry', '1 pincée persil']</t>
  </si>
  <si>
    <t>Carottes aux herbes et semoule.html</t>
  </si>
  <si>
    <t>['30 g semoule de couscous', '180 g carotte(s)', '1 c. à café huile(s) végétale(s)', '1 pincée herbes aromatiques']</t>
  </si>
  <si>
    <t>Carottes braisées.html</t>
  </si>
  <si>
    <t>['200 g carotte(s)', '10 g oignon(s)', '1 filet huile d’olive', '1 brin(s) thym', '1  feuille(s) de laurier']</t>
  </si>
  <si>
    <t>Carottes vapeur, écrasé de pomme de terre au persil et truite.html</t>
  </si>
  <si>
    <t>['100 g pomme(s) de terre', '¼ gousse ail', '1 c. à soupe crème', '1 pincée persil', '150 g carotte(s)', '20 g truite']</t>
  </si>
  <si>
    <t>Cassolette de riz, lapin, carottes et champignons.html</t>
  </si>
  <si>
    <t>['20 g lapin', '75 g champignons', '75 g carotte(s)', '20 g oignon(s) jaune(s)', '20 g riz', '1 c. à café crème', "1 c. à café huile d'olive", '1 pincée herbes aromatiques']</t>
  </si>
  <si>
    <t>Caviar d’aubergines et semoule.html</t>
  </si>
  <si>
    <t>['30 g semoule de couscous', '150 g aubergine(s)', "1 c. à café huile d'olive", '½ gousse(s) ail']</t>
  </si>
  <si>
    <t>Céleri-rave, sauté de dinde à la coriandre.html</t>
  </si>
  <si>
    <t>['250 g céleri-rave', '20 g dinde', '1 pincée coriandre', '¼  oignon(s)', "1 c. à café huile d'olive", '1 c. à café huile(s) végétale(s)']</t>
  </si>
  <si>
    <t>Champignons à la crème et quinoa.html</t>
  </si>
  <si>
    <t>['15 g quinoa', '200 g champignons', '1 c. à café crème']</t>
  </si>
  <si>
    <t>Chili con carne aux carottes.html</t>
  </si>
  <si>
    <t>['15 g riz', '60 g carotte(s)', '50 g coulis de tomates', '40 g haricots rouges', '20 g boeuf haché', '10 g oignon(s)', "1 c. à café huile d'olive", '1 pincée épices mexicaines', '1 pincée coriandre']</t>
  </si>
  <si>
    <t>Chili con carne.html</t>
  </si>
  <si>
    <t>['20 g riz', '75 g tomate(s)', '20 g haricots rouges', '20 g maïs', '60 g carotte(s)', '20 g boeuf haché', '¼  oignon(s)', '1 pincée épices mexicaines', '1 pincée coriandre', "1 c. à café huile d'olive"]</t>
  </si>
  <si>
    <t>Chili sin carne.html</t>
  </si>
  <si>
    <t>['100 g tomates concassées', '60 g carotte(s)', '20 g riz', '20 g maïs', '20 g haricots rouges', '20 g oignon(s)', "1 c. à soupe huile d'olive", '1 pincée épices mexicaines', '1 pincée coriandre']</t>
  </si>
  <si>
    <t>Chou vert à la crème, cabillaud et riz.html</t>
  </si>
  <si>
    <t>['130 g chou vert', '20 g cabillaud', '20 g riz', '1 c. à soupe crème', '½  citron(s)']</t>
  </si>
  <si>
    <t>Chou-fleur à l’indienne.html</t>
  </si>
  <si>
    <t>['20 g riz', '20 g lentilles corail', '80 g chou-fleur', '50 g coulis de tomates', '¼  oignon(s)', '1 pincée garam masala ', "1 c. à café huile d'olive", '1 c. à café huile(s) végétale(s)']</t>
  </si>
  <si>
    <t>Chou-fleur, patate douce et carotte au curry.html</t>
  </si>
  <si>
    <t>['80 g chou-fleur', '80 g patate(s) douce(s)', '80 g carotte(s)', '1 c. à soupe coulis de tomates', '1 c. à café huile(s) végétale(s)', '1 pincée curry']</t>
  </si>
  <si>
    <t>Classique petits pois carottes, en purée.html</t>
  </si>
  <si>
    <t>['80 g petits pois', '130 g carotte(s)', '10 g oignon(s)', '1 c. à café huile(s) végétale(s)']</t>
  </si>
  <si>
    <t>Classique petits pois carottes.html</t>
  </si>
  <si>
    <t>['100 g petits pois', '150 g carotte(s)', '10 g oignon(s)', '1 c. à café huile(s) végétale(s)']</t>
  </si>
  <si>
    <t>Colin vapeur, purée de courge butternut au curcuma et semoule.html</t>
  </si>
  <si>
    <t>['15 g colin', '175 g butternut', '25 g semoule de couscous', '  citron(s)', '1 c. à café huile(s) végétale(s)', '1 pincée curcuma']</t>
  </si>
  <si>
    <t>Conchigliettes crémeuses au chou-fleur et lieu jaune.html</t>
  </si>
  <si>
    <t>['150 g chou-fleur', '30 g conchigliettes', '20 g lieu jaune', '1 c. à café crème']</t>
  </si>
  <si>
    <t>Cookies au brocoli poire et saumon.html</t>
  </si>
  <si>
    <t>['150 g brocoli', '30 g quinoa', '25 g poire(s)', '10 g saumon', '1 c. à soupe fécule de maïs', '1 c. à café huile(s) végétale(s)']</t>
  </si>
  <si>
    <t>Cookies betterave quinoa pomme.html</t>
  </si>
  <si>
    <t>['150 g betterave(s)', '30 g quinoa', '25 g pomme(s)', '2 c. à soupe fécule de maïs', '1 c. à café jus de citron', '1 c. à café huile(s) végétale(s)', '  coriandre']</t>
  </si>
  <si>
    <t>Cookies de betterave et navet.html</t>
  </si>
  <si>
    <t>['75 g betterave(s)', '75 g navet(s)', '50 g fromage blanc', '50 g fécule de maïs', '50 g farine', '30 g poulet', '1 c. à café poudre à lever', '  herbes aromatiques']</t>
  </si>
  <si>
    <t>Cookies de betterave quinoa saumon et pomme.html</t>
  </si>
  <si>
    <t>['150 g betterave(s)', '2 c. à soupe fécule de maïs', '30 g quinoa', '25 g pomme(s)', '10 g saumon', '1 c. à café jus de citron', '1 c. à café huile(s) végétale(s)', '  coriandre']</t>
  </si>
  <si>
    <t>Cookies moelleux carottes – petits pois.html</t>
  </si>
  <si>
    <t>['250 g carotte(s)', '120 g petits pois', '1  oeuf(s)', '1 c. à café huile d’olive', '100 g farine']</t>
  </si>
  <si>
    <t>Courge spaghetti à la carbonara.html</t>
  </si>
  <si>
    <t>['250 g courge spaghetti', '20 g jambon blanc', '¼  oignon(s)', '1 c. à soupe crème fraîche', "1 c. à café huile d'olive"]</t>
  </si>
  <si>
    <t>Courge spaghetti à la sauce tomates.html</t>
  </si>
  <si>
    <t>['250 g courge spaghetti', '60 g coulis de tomates', '¼  oignon(s)', "1 c. à café huile d'olive", '  herbes aromatiques']</t>
  </si>
  <si>
    <t>Courgettes au basilic et oeuf brouillé.html</t>
  </si>
  <si>
    <t>['250 g courgette(s)', '⅓  oeuf(s)', "1 c. à café huile d'olive", '2 feuilles basilic']</t>
  </si>
  <si>
    <t>Courgettes et basilic au quinoa.html</t>
  </si>
  <si>
    <t>['15 g quinoa', '150 g courgette(s)', '1 feuille(s) basilic', "1 c. à café huile d'olive"]</t>
  </si>
  <si>
    <t>Courgettes gratinées au parmesan.html</t>
  </si>
  <si>
    <t>['1  courgette', '10 g parmesan', '½ c. à café herbes de Provence', '1 c. à soupe huile d’olive']</t>
  </si>
  <si>
    <t>Couscous à l’agneau.html</t>
  </si>
  <si>
    <t>['30 g semoule de couscous', '20 g agneau', '40 g carotte(s)', '40 g courgette(s)', '40 g tomate(s)', '40 g navet(s)', '10 g oignon(s)', '1 pincée épices', '1 pincée herbes aromatiques', "2 c. à café huile d'olive"]</t>
  </si>
  <si>
    <t>Couscous au rutabaga et carottes.html</t>
  </si>
  <si>
    <t>['75 g rutabaga(s)', '75 g carotte(s)', '25 g concentré de tomates', '25 g raisins secs', '25 g semoule de couscous', '1 pincée épices', '1 pincée persil', '1 c. à café huile d’olive']</t>
  </si>
  <si>
    <t>Couscous aux boulettes de poisson.html</t>
  </si>
  <si>
    <t>['75 g rutabaga(s)', '75 g carotte(s)', '25 g concentré de tomates', '25 g raisins secs', '25 g semoule de couscous', '1 pincée épices', '1 c. à café huile d’olive', '50 g topinambour(s)', '25 g poisson', '1 pincée persil']</t>
  </si>
  <si>
    <t>Couscous aux légumes.html</t>
  </si>
  <si>
    <t>['25 g semoule de couscous', '90 g carotte(s)', '75 g courgette(s)', '10 g ciboule', '1 pincée curcuma', '1 c. à café huile(s) végétale(s)']</t>
  </si>
  <si>
    <t>Couscous d’agneau aux légumes.html</t>
  </si>
  <si>
    <t>['25 g semoule de couscous', '15 g agneau', '40 g carotte(s)', '40 g courgette(s)', '40 g tomate(s)', '40 g navet(s)', '10 g oignon(s)', '1 pincée épices', '1 pincée herbes aromatiques', "2 c. à café huile d'olive"]</t>
  </si>
  <si>
    <t>Couscous de veau aux coings.html</t>
  </si>
  <si>
    <t>['½ g coing(s)', '25 g semoule de couscous', '20 g veau', '½ gousse ail', '½ petit oignon(s)', "1 c. à soupe huile d'olive", '  épices à couscous']</t>
  </si>
  <si>
    <t>Couscous végétarien au rutabaga (mouliné).html</t>
  </si>
  <si>
    <t>['25 g semoule de couscous', '50 g carotte(s)', '50 g rutabaga(s)', '40 g fruits secs', '20 g coulis de tomates', '1 pincée épices', '1 c. à café huile(s) végétale(s)']</t>
  </si>
  <si>
    <t>Couscous végétarien.html</t>
  </si>
  <si>
    <t>['30 g semoule de couscous', '40 g carotte(s)', '40 g courgette(s)', '40 g tomate(s)', '40 g navet(s)', '10 g oignon(s)', '1 pincée épices', '1 pincée herbes aromatiques', "2 c. à café huile d'olive"]</t>
  </si>
  <si>
    <t>Craquottes et tartinade de poireaux au thon.html</t>
  </si>
  <si>
    <t>['2  craquotte(s)', '100 g poireau(x)', '15 à 20 g thon', '½  yaourt', '1 c. à café huile(s) végétale(s)']</t>
  </si>
  <si>
    <t>Crème d’endive et pomme, semoule et saumon.html</t>
  </si>
  <si>
    <t>['150 g endive(s)', '½  pomme(s)', '25 g semoule de couscous', '20 g saumon', '1 c. à café crème', "1 c. à café huile d'olive"]</t>
  </si>
  <si>
    <t>Crème d’endives au jambon sur lit de patate douce écrasée.html</t>
  </si>
  <si>
    <t>['100 g patate(s) douce(s)', '180 g endive(s)', '1 c. à café crème fraîche', '15 g jambon blanc']</t>
  </si>
  <si>
    <t>Crème d’endives-avocat-pomme.html</t>
  </si>
  <si>
    <t>['150 g endive(s)', '½  avocat(s)', '½  pomme(s)', '½  citron(s)', "1 c. à soupe huile d'olive"]</t>
  </si>
  <si>
    <t>Crème de brèdes (et petites pâtes).html</t>
  </si>
  <si>
    <t>['150 g brèdes', '15 g pâtes', '0.5 petit oignon(s)', '1 gousse(s) ail', '1 c. à soupe lait de coco', '  gingembre frais', '  combava', '  huile d’olive']</t>
  </si>
  <si>
    <t>Crème de brocoli à l’aneth et cabillaud aux petites pâtes.html</t>
  </si>
  <si>
    <t>['150 g brocoli', '20 g pâtes', "1 c. à soupe huile d'olive", '2 pincée aneth', '15 g cabillaud', '15 g oignon(s) rouge(s)']</t>
  </si>
  <si>
    <t>Crème de butternut, lentilles corail et coco.html</t>
  </si>
  <si>
    <t>['20 g lentilles corail', '150 g butternut', '2 c. à soupe lait de coco', '40 mL eau']</t>
  </si>
  <si>
    <t>Crème de chou-fleur au lait de coco et curry.html</t>
  </si>
  <si>
    <t>['250 g chou-fleur', '20 mL lait de coco', '1 pincée(s) curry']</t>
  </si>
  <si>
    <t>Crème de fenouil à l’aneth, petits pois et maquereau.html</t>
  </si>
  <si>
    <t>['150 g fenouil', '60 g petits pois', '1 c. à café huile(s) végétale(s)', '1 pincée aneth', '20 g maquereau']</t>
  </si>
  <si>
    <t>Crème de fenouil et petits pois à l’aneth, maquereau.html</t>
  </si>
  <si>
    <t>['150 g fenouil', '50 g petits pois', '1 c. à café huile(s) végétale(s)', '1 pincée aneth', '10 à 15 g maquereau']</t>
  </si>
  <si>
    <t>Crème de petits pois et limande à la l’aneth, avocat.html</t>
  </si>
  <si>
    <t>['100 g petits pois', '15 à 20 g limande', '2 pincée aneth', '½  avocat(s)', '1 c. à café huile(s) végétale(s)']</t>
  </si>
  <si>
    <t>Crème de poireaux au curry et quinoa.html</t>
  </si>
  <si>
    <t>['125 g poireau(x)', '10 g quinoa', '1 pincée curry', '1 c. à café crème']</t>
  </si>
  <si>
    <t>Crémeux de cèpes au riz.html</t>
  </si>
  <si>
    <t>['15 g riz', '125 g cèpes', '½  oignon(s) jaune(s)', "1 c. à café huile d'olive", '1 c. à café crème', '1 pincée coriandre', '5 g fromage râpé']</t>
  </si>
  <si>
    <t>Crêpe épinards sarrasin.html</t>
  </si>
  <si>
    <t>['50 g épinards', '50 g farine de sarrasin', '100 mL eau', '1 c. à café huile d’olive']</t>
  </si>
  <si>
    <t>Crêpe roulée aux courgettes et boeuf.html</t>
  </si>
  <si>
    <t>['30 g farine', "1 c. à café huile d'olive", '70 mL lait', '150 g courgette(s)', '20 g boeuf haché']</t>
  </si>
  <si>
    <t>Croquettes courgette fromage de chèvre.html</t>
  </si>
  <si>
    <t>['250 g courgette(s)', '20 g fromage de chèvre', '2 c. à soupe fécule de maïs', '2 c. à soupe huile(s) végétale(s)', '1 c. à soupe crème fraîche', '1 pincée(s) curry', '  chapelure']</t>
  </si>
  <si>
    <t>Croquettes de brocoli et quinoa au saumon.html</t>
  </si>
  <si>
    <t>['150 g brocoli', '20 g saumon', '20 g quinoa', '1 c. à soupe fécule de maïs', "1 c. à café huile d'olive"]</t>
  </si>
  <si>
    <t>Croquettes de brocoli, quinoa et chèvre.html</t>
  </si>
  <si>
    <t>['200 g brocoli', '15 g quinoa', '20 g fromage de chèvre', '1 c. à soupe fécule de maïs', '1 c. à café huile(s) végétale(s)', '1 pincée basilic']</t>
  </si>
  <si>
    <t>Croquettes de chou fleur et carottes.html</t>
  </si>
  <si>
    <t>['120 g chou-fleur', '60 g carotte(s)', '40 g farine', '1 c. à soupe huile(s) végétale(s)', '  persil', '  chapelure']</t>
  </si>
  <si>
    <t>Croquettes de chou-fleur au quinoa et fromage.html</t>
  </si>
  <si>
    <t>['150 g chou-fleur', '20 g quinoa', '20 g fromage râpé', '1 c. à soupe fécule de maïs', "1 c. à café huile d'olive"]</t>
  </si>
  <si>
    <t>Croquettes de chou-fleur au quinoa.html</t>
  </si>
  <si>
    <t>['250 g chou-fleur', '50 g quinoa', '1 c. à soupe huile d’olive', '2 c. à soupe fécule de maïs', '1 c. à café épices']</t>
  </si>
  <si>
    <t>Croquettes de chou-fleur et lentilles corail.html</t>
  </si>
  <si>
    <t>['150 g chou-fleur', '15 g lentilles corail', '30 g farine', '1 pincée(s) curry', '1 c. à café huile d’olive']</t>
  </si>
  <si>
    <t>Croquettes de navet à la ciboulette.html</t>
  </si>
  <si>
    <t>['90 g navet(s)', '90 g pomme(s) de terre', '1 c. à soupe farine', '1 c. à soupe huile(s) végétale(s)', '  ciboulette', '  chapelure']</t>
  </si>
  <si>
    <t>Croquettes de navet façon hachis Parmentier de canard.html</t>
  </si>
  <si>
    <t>['90 g navet(s)', '90 g pomme(s) de terre', '10 g canard', '1 c. à soupe farine', '1 c. à soupe huile(s) végétale(s)', '  ciboulette', '  chapelure']</t>
  </si>
  <si>
    <t>Croquettes de navets au basilic.html</t>
  </si>
  <si>
    <t>['150 g navet(s)', '2 c. à soupe farine', '1 c. à soupe huile(s) végétale(s)', '  chapelure', '  basilic']</t>
  </si>
  <si>
    <t>Croquettes de navets et pommes de terre.html</t>
  </si>
  <si>
    <t>['90 g navet(s)', '90 g pomme(s) de terre', '1 c. à soupe farine', '1 c. à café huile(s) végétale(s)', '  chapelure', '  ciboulette']</t>
  </si>
  <si>
    <t>Croquettes de panais et fromage frais.html</t>
  </si>
  <si>
    <t>['150 g panais', '30 g farine', '15 g fromage frais', '1 c. à café huile(s) végétale(s)', '1 pincée(s) paprika']</t>
  </si>
  <si>
    <t>Croquettes de patate douce et chou-fleur.html</t>
  </si>
  <si>
    <t>['100 g chou-fleur', '60 g patate(s) douce(s)', '40 g farine', '  chapelure', "  huile d'olive"]</t>
  </si>
  <si>
    <t>Croquettes de patates douces et carottes.html</t>
  </si>
  <si>
    <t>['100 g patate(s) douce(s)', '100 g carotte(s)', '50 g farine', '1 c. à soupe huile(s) végétale(s)', '  chapelure']</t>
  </si>
  <si>
    <t>Croquettes de pommes de terre et carottes.html</t>
  </si>
  <si>
    <t>['100 g pomme(s) de terre', '100 g carotte(s)', "50 g farine d'épeautre", '1 c. à soupe huile(s) végétale(s)', '  ciboulette', '  chapelure']</t>
  </si>
  <si>
    <t>Croquettes de pommes de terre et mâche.html</t>
  </si>
  <si>
    <t>['100 g pomme(s) de terre', '50 g mâche', '2 c. à soupe farine de maïs', '1 c. à soupe huile(s) végétale(s)', '  chapelure']</t>
  </si>
  <si>
    <t>Croquettes de pommes de terre et navet au saumon.html</t>
  </si>
  <si>
    <t>['90 g navet(s)', '90 g pomme(s) de terre', '10 g saumon', '1 c. à soupe farine', '  chapelure', '  huile d’olive', '  ciboulette']</t>
  </si>
  <si>
    <t>Croquettes de risotto, purée de mâche et panais.html</t>
  </si>
  <si>
    <t>['30 g riz pour risotto', '40 g mâche', '100 g panais', '½  oignon(s)', "  huile d'olive", '  farine', '  fromage frais']</t>
  </si>
  <si>
    <t>Croquettes de songe, citrouille et sardine.html</t>
  </si>
  <si>
    <t>['50 g sardine', '125 g songe(s)', '125 g citrouille', '  chapelure', '  huile d’olive']</t>
  </si>
  <si>
    <t>Croquettes façon hachis Parmentier.html</t>
  </si>
  <si>
    <t>['100 g pomme(s) de terre', '100 g carotte(s)', '10 g boeuf haché', '50 g farine', '10 g oignon(s)', '5 brin(s) ciboulette', '  huile d’olive', '  chapelure']</t>
  </si>
  <si>
    <t>Croziflette revisitée au potimarron.html</t>
  </si>
  <si>
    <t>['150 g potimarron', '25 g crozets', '20 g reblochon', '20 g jambon de dinde', '¼  oignon(s)', "1 c. à café huile d'olive", '1 c. à café crème']</t>
  </si>
  <si>
    <t>Crumble au brocoli et jambon.html</t>
  </si>
  <si>
    <t>['200 g brocoli', '20 g farine', '10 g beurre', '10 g parmesan', '20 g jambon blanc']</t>
  </si>
  <si>
    <t>Crumble au brocoli et parmesan.html</t>
  </si>
  <si>
    <t>['200 g brocoli', '20 g farine', '10 g beurre', '10 g parmesan', '10 g fromage frais']</t>
  </si>
  <si>
    <t>Crumble au potimarron et panais onctueux.html</t>
  </si>
  <si>
    <t>['100 g potimarron', '100 g panais', '15 g farine', '5 g beurre']</t>
  </si>
  <si>
    <t>Crumble de butternut et sarrasin aux noisettes.html</t>
  </si>
  <si>
    <t>['220 g butternut', '10 g farine de sarrasin', '10 g poudre de noisettes', '10 g beurre']</t>
  </si>
  <si>
    <t>Crumble de cabillaud et purée de céleri-rave.html</t>
  </si>
  <si>
    <t>['180 g céleri-rave', '15 à 20 g cabillaud', '1 c. à soupe poudre de noisettes', '1 c. à soupe farine', "1 c. à soupe huile d'olive", '1 c. à café huile(s) végétale(s)']</t>
  </si>
  <si>
    <t>Crumble de potimarron et panais.html</t>
  </si>
  <si>
    <t>['120 g potimarron', '100 g panais', '15 g farine', '5 g beurre']</t>
  </si>
  <si>
    <t>Crumble fondant de potiron au chèvre.html</t>
  </si>
  <si>
    <t>['200 g potiron', '10 g fromage de chèvre', '10 g noisettes en poudre', '10 g farine', '5 g huile(s) végétale(s)']</t>
  </si>
  <si>
    <t>Curry de carotte et courgette aux lentilles corail.html</t>
  </si>
  <si>
    <t>['100 g carotte(s)', '100 g courgette(s)', '20 g lentilles corail', '1 c. à soupe crème', '1 pincée curry']</t>
  </si>
  <si>
    <t>Curry de chou-fleur et patate douce.html</t>
  </si>
  <si>
    <t>['150 g chou-fleur', '120 g patate(s) douce(s)', '1 c. à café crème', '1 pincée curry']</t>
  </si>
  <si>
    <t>Curry de chou-fleur, carottes et lieu jaune.html</t>
  </si>
  <si>
    <t>['75 g chou-fleur', '75 g carotte(s)', '75 g pomme(s) de terre', '2  pruneau(x)', '20 g lieu jaune', '1 c. à café crème', '1 pincée(s) curry']</t>
  </si>
  <si>
    <t>Curry de courgettes et pois chiches, riz.html</t>
  </si>
  <si>
    <t>['20 g riz', '150 g courgette(s)', '20 g pois chiches', '20 mL lait de coco', '1 pincée(s) curry']</t>
  </si>
  <si>
    <t>Curry de courgettes et riz.html</t>
  </si>
  <si>
    <t>['20 g riz', '150 g courgette(s)', '20 mL lait de coco', '1 pincée(s) curry']</t>
  </si>
  <si>
    <t>Curry de légumes à l’ananas et quinoa.html</t>
  </si>
  <si>
    <t>['20 g quinoa', '60 g ananas', '60 g carotte(s)', '40 g brocoli', '20 mL lait de coco', '1 pincée(s) curry', '1 pincée(s) coriandre']</t>
  </si>
  <si>
    <t>Curry de légumes et ananas, quinoa.html</t>
  </si>
  <si>
    <t>['20 g quinoa', '75 g ananas', '75 g carotte(s)', '50 g brocoli', '20 mL lait de coco', '1 pincée(s) curry', '1 pincée(s) coriandre']</t>
  </si>
  <si>
    <t>Curry de poisson à l’ananas et riz.html</t>
  </si>
  <si>
    <t>['75 g ananas', '75 g carotte(s)', '20 g riz', '15 g poisson blanc', '20 mL lait de coco', '1 pincée(s) curry', '1 pincée(s) gingembre moulu', '1 pincée(s) coriandre']</t>
  </si>
  <si>
    <t>Curry de poisson à l’ananas, riz.html</t>
  </si>
  <si>
    <t>['75 g ananas', '100 g carotte(s)', '20 g riz', '20 g poisson blanc', '20 g lait de coco', '1 pincée(s) curry', '1 pincée(s) gingembre moulu', '1 pincée(s) coriandre']</t>
  </si>
  <si>
    <t>Curry de saumon aux carottes et petits pois.html</t>
  </si>
  <si>
    <t>['15 g saumon', '100 g carotte(s)', '70 g petits pois', '25 mL lait de coco', '1 pincée curry', '1 pincée coriandre', '1 c. à café huile(s) végétale(s)']</t>
  </si>
  <si>
    <t>Curry veggie aux légumes.html</t>
  </si>
  <si>
    <t>['15 g riz', '70 g carotte(s)', '70 g navet(s)', '½  oignon(s)', '½ gousse(s) ail', '25 mL lait de coco', '1 pincée(s) curry', '1 pincée(s) gingembre moulu']</t>
  </si>
  <si>
    <t>Dahl de lentilles corail au butternut et carotte, riz.html</t>
  </si>
  <si>
    <t>['20 g riz', '20 g lentilles corail', '75 g butternut', '75 g carotte(s)', '1 c. à soupe lait de coco', '1 c. à café concentré de tomates', '1 pincée curry', '1 pincée coriandre']</t>
  </si>
  <si>
    <t>Dahl de lentilles corail aux carottes.html</t>
  </si>
  <si>
    <t>['20 g riz', '20 g lentilles corail', '80 g carotte(s)', '50 g coulis de tomates', '¼  oignon(s)', '1 pincée garam masala ', "1 c. à café huile d'olive", '1 c. à café crème fraîche']</t>
  </si>
  <si>
    <t>Dinde et champignons à la béchamel, riz.html</t>
  </si>
  <si>
    <t>['130 g champignons', '20 g riz', '20 g dinde', '½  oignon(s)', "1 c. à café huile d'olive", '1 c. à café farine', '50 mL lait', '1 pincée muscade moulue']</t>
  </si>
  <si>
    <t>Donuts à la betterave.html</t>
  </si>
  <si>
    <t>['150 g betterave(s)', '1 c. à soupe fécule de maïs', '2 c. à soupe farine', '1  fromage blanc', '1 c. à café poudre à lever', '  ciboulette']</t>
  </si>
  <si>
    <t>Dorade au lait de coco, duo de patate douce et carotte.html</t>
  </si>
  <si>
    <t>['100 g patate(s) douce(s)', '100 g carotte(s)', '15 g dorade', '15 mL lait de coco', '  coriandre']</t>
  </si>
  <si>
    <t>Duo de galettes polenta betterave carotte.html</t>
  </si>
  <si>
    <t>['50 g carotte(s)', '50 g betterave(s)', '30 g polenta', '1 c. à café fécule de maïs', '1 c. à café huile d’olive']</t>
  </si>
  <si>
    <t>Duo de riz et quinoa, sauce tomates mozzarella au saumon.html</t>
  </si>
  <si>
    <t>['10 g riz', '10 g quinoa', '150 g tomate(s)', '15 g mozzarella', '15 g saumon', '½ gousse(s) ail', '½  oignon(s)', '1 pincée(s) thym', '1 feuille(s) basilic', "  huile d'olive"]</t>
  </si>
  <si>
    <t>Duo de riz et quinoa, tomates mozzarella et saumon.html</t>
  </si>
  <si>
    <t>['10 g riz', '10 g quinoa', '150 g tomate(s)', '20 g mozzarella', '20 g saumon', '½ gousse(s) ail', '½  oignon(s)', '1 pincée(s) thym', '1 feuille(s) basilic', "  huile d'olive"]</t>
  </si>
  <si>
    <t>Duo de rondelles de concombre vapeur et tomate, fromage frais.html</t>
  </si>
  <si>
    <t>['100 g concombre', '100 g tomate(s)', '15 g fromage frais', '  basilic']</t>
  </si>
  <si>
    <t>Duo de rondelles de concombre vapeur et tomate.html</t>
  </si>
  <si>
    <t>['100 g concombre', '100 g tomate(s)', '1 c. à soupe huile d’olive', '  basilic']</t>
  </si>
  <si>
    <t>Duo de rondelles de courgette et concombre vapeur et sauce au fromage de brebis.html</t>
  </si>
  <si>
    <t>['80 g courgette(s)', '80 g concombre', '30 g fromage de brebis frais', '  ciboulette']</t>
  </si>
  <si>
    <t>Ecrasé de patate douce, cabillaud façon ceviche.html</t>
  </si>
  <si>
    <t>['180 g patate(s) douce(s)', '15 g cabillaud', '2 pincée coriandre', '½  citron vert', '¼  oignon(s)', "1 c. à café huile d'olive"]</t>
  </si>
  <si>
    <t>Ecrasé de patate douce, fenouil citronné.html</t>
  </si>
  <si>
    <t>['120 g patate(s) douce(s)', '130 g fenouil', '1 c. à café huile(s) végétale(s)', '½  citron(s)']</t>
  </si>
  <si>
    <t>Ecrasé de patate douce, fenouil et merlan.html</t>
  </si>
  <si>
    <t>['120 g patate(s) douce(s)', '130 g fenouil', '1 c. à café huile(s) végétale(s)', '½  citron(s)', '20 g merlan']</t>
  </si>
  <si>
    <t>Ecrasé de patate douce, porc aux pruneaux.html</t>
  </si>
  <si>
    <t>['150 g patate(s) douce(s)', '50 g pruneau(x)', '15 g porc', '1 c. à café huile(s) végétale(s)']</t>
  </si>
  <si>
    <t>Ecrasé de patates douces, purée de fenouil au merlan.html</t>
  </si>
  <si>
    <t>['100 g patate(s) douce(s)', '130 g fenouil', '½  citron(s)', '1 c. à café huile(s) végétale(s)', '15 g merlan']</t>
  </si>
  <si>
    <t>Ecrasé de patates douces, purée de fenouil citronnée.html</t>
  </si>
  <si>
    <t>['100 g patate(s) douce(s)', '130 g fenouil', '½  citron(s)', '1 c. à café huile(s) végétale(s)']</t>
  </si>
  <si>
    <t>Ecrasé de pomme de terre, mousseline d’avocat et endives au saumon.html</t>
  </si>
  <si>
    <t>['60 g pomme(s) de terre', '60 g avocat(s)', '100 g endive(s)', '15 g saumon', "1 c. à café huile d'olive", '½  citron(s)']</t>
  </si>
  <si>
    <t>Ecrasé de pommes de terre et chou chinois au jambon.html</t>
  </si>
  <si>
    <t>['75 g pomme(s) de terre', '120 g chou chinois', '20 g jambon blanc', '1 c. à café huile(s) végétale(s)']</t>
  </si>
  <si>
    <t>Ecrasé de potimarron au canard.html</t>
  </si>
  <si>
    <t>['150 g potimarron', '75 g pomme(s) de terre', '15 g canard', '1 c. à café huile(s) végétale(s)']</t>
  </si>
  <si>
    <t>Ecrasé de potimarron et champignons à la crème.html</t>
  </si>
  <si>
    <t>['200 g potimarron', '125 g champignons', '1 c. à café crème']</t>
  </si>
  <si>
    <t>Ecrasé de topinambour fondant au romarin.html</t>
  </si>
  <si>
    <t>['280 g topinambour(s)', '1 c. à café huile(s) végétale(s)', ' pincée romarin']</t>
  </si>
  <si>
    <t>Églefin et sa purée de fenouil-pomme.html</t>
  </si>
  <si>
    <t>['½  pomme(s)', '130 g fenouil', '30 g pomme(s) de terre', '½  citron(s)', '1 c. à café huile(s) végétale(s)', '20 g églefin']</t>
  </si>
  <si>
    <t>Egrainé de quinoa et carottes à la truite.html</t>
  </si>
  <si>
    <t>['180 g carotte(s)', '15 g quinoa', '1 c. à café huile(s) végétale(s)', '15 g truite']</t>
  </si>
  <si>
    <t>Endives au jambon sur lit de patate douce.html</t>
  </si>
  <si>
    <t>['120 g patate(s) douce(s)', '200 g endive(s)', '1 c. à café crème fraîche', '20 g jambon blanc']</t>
  </si>
  <si>
    <t>Étoiles aux légumes et à l’avoine.html</t>
  </si>
  <si>
    <t>['60 g carotte(s)', '60 g navet(s)', "50 g flocons d'avoine", '10 g oignon(s)', '1 c. à café huile(s) végétale(s)', '  persil']</t>
  </si>
  <si>
    <t>Falafels au chou kale et sa petite sauce citronnée.html</t>
  </si>
  <si>
    <t>['200 g pois chiches', '75 g chou kale', '¼  oignon', '2 c. à café huile d’olive', '2 pincée(s) cumin', '100 g fromage blanc', '½  citron(s)', '  herbes aromatiques']</t>
  </si>
  <si>
    <t>Falafels au fenouil citronnés.html</t>
  </si>
  <si>
    <t>['100 g fenouil', '150 g pois chiches', '¼  oignon(s)', '1 c. à café jus de citron', '  persil', '¼ c. à café cumin']</t>
  </si>
  <si>
    <t>Falafels au four (pour bébé et toute la famille).html</t>
  </si>
  <si>
    <t>['400 g pois chiches', '1  oignon(s)', '1 c. à café cumin', '2 c. à soupe farine', '  coriandre', '  huile d’olive']</t>
  </si>
  <si>
    <t>Falafels de patate douce.html</t>
  </si>
  <si>
    <t>['200 g patate(s) douce(s)', '200 g pois chiches', '½  oignon(s)', '½ c. à café cumin', '  herbes aromatiques', '  huile d’olive']</t>
  </si>
  <si>
    <t>Falafels tomate saumon.html</t>
  </si>
  <si>
    <t>['150 g pois chiches', '50 g pulpe de tomates', '30 g saumon', '  basilic', '  chapelure', '  poivre']</t>
  </si>
  <si>
    <t>Fausses lasagnes au chou vert.html</t>
  </si>
  <si>
    <t>['150 g chou vert', '50 g pomme(s) de terre', '50 g carotte(s)', '20 g boeuf', '1 c. à café huile(s) végétale(s)', '  bicarbonate de soude alimentaire']</t>
  </si>
  <si>
    <t>Filet mignon et haricots verts, polenta crémeuse.html</t>
  </si>
  <si>
    <t>['15 g polenta', '120 g haricots verts', '20 g filet mignon', '1 c. à café crème fraîche']</t>
  </si>
  <si>
    <t>Flan crémeux au pâtisson.html</t>
  </si>
  <si>
    <t>['1 kg pâtisson(s)', '1  oeuf(s)', '100 g farine', "2 c. à soupe huile d'olive", '  épices']</t>
  </si>
  <si>
    <t>Flan de carottes au cumin.html</t>
  </si>
  <si>
    <t>['300 g carotte(s)', '½  oeuf(s)', '15 g fécule de maïs', '1 c. à soupe yaourt', '1 pincée cumin', "1 c. à café huile d'olive"]</t>
  </si>
  <si>
    <t>Flans à la ratatouille.html</t>
  </si>
  <si>
    <t>['50 g tomate(s)', '50 g courgette(s)', '50 g aubergine(s)', '50 g poivron(s) rouge(s)', '¼  oignon(s)', '1 c. à café huile d’olive', '1  oeuf(s)', '20 g fécule de maïs', '  basilic', '  poivre']</t>
  </si>
  <si>
    <t>Flans à la roquette et au poulet.html</t>
  </si>
  <si>
    <t>['50 g roquette', '50 g pomme(s) de terre', '50 g courgette(s)', '1 c. à soupe  crème fraîche', '1 c. à soupe farine', '1  oeuf(s)', '  basilic', '30 g blanc de poulet']</t>
  </si>
  <si>
    <t>Flans carottes maïs et sardine.html</t>
  </si>
  <si>
    <t>['150 g carotte(s)', '50 g maïs', '20 g sardine', '1  oeuf(s)', '1 c. à soupe crème fraîche', '1 c. à soupe farine', '  persil']</t>
  </si>
  <si>
    <t>Flans carottes maïs.html</t>
  </si>
  <si>
    <t>['150 g carotte(s)', '50 g maïs', '1 c. à soupe  crème fraîche', '1 c. à soupe farine', '  ciboulette', '1  oeuf(s)']</t>
  </si>
  <si>
    <t>Flans de blettes au chèvre et quinoa.html</t>
  </si>
  <si>
    <t>['200 g blettes', '25 g quinoa', '40 g fromage de chèvre', '1  oeuf(s)', '20 g fécule de maïs', '  jus de citron']</t>
  </si>
  <si>
    <t>Flans de carottes au lait de coco.html</t>
  </si>
  <si>
    <t>['125 g carotte(s)', '50 mL lait de coco', '1  oeuf(s)', '  noix de coco râpée']</t>
  </si>
  <si>
    <t>Fleurettes de brocoli et fromage blanc au basilic.html</t>
  </si>
  <si>
    <t>['200 g brocoli', '30 g fromage blanc', '  basilic']</t>
  </si>
  <si>
    <t>Fleurettes de brocoli et truite en morceau.html</t>
  </si>
  <si>
    <t>['200 g brocoli', '10 g truite', '  persil']</t>
  </si>
  <si>
    <t>Fleurettes de brocoli sauce au fromage blanc et herbes de Provence.html</t>
  </si>
  <si>
    <t>['150 g brocoli', '30 g fromage blanc', '½ c. à café herbes de Provence']</t>
  </si>
  <si>
    <t>Fleurettes de brocolis et sa sauce au parmesan.html</t>
  </si>
  <si>
    <t>['150 g brocoli', '20 g fromage blanc', '10 g parmesan']</t>
  </si>
  <si>
    <t>Fonds d’artichaud gratinés au parmesan.html</t>
  </si>
  <si>
    <t>['4  artichaut(s)', '30 mL crème entière', '15 g parmesan', '1 pincée muscade moulue', '  ciboulette']</t>
  </si>
  <si>
    <t>Fonds d’artichaut et pomme de terre.html</t>
  </si>
  <si>
    <t>['2  artichaut(s)', '100 g pomme(s) de terre', '1 c. à café huile(s) végétale(s)', '1  citron(s)']</t>
  </si>
  <si>
    <t>Fondue de courgettes et petites pâtes à l’emmental.html</t>
  </si>
  <si>
    <t>['180 g courgette(s)', '1 c. à café crème', '20 g pâtes', '5 g fromage râpé']</t>
  </si>
  <si>
    <t>Fondue de poireau et cabillaud, boulgour.html</t>
  </si>
  <si>
    <t>['130 g poireau(x)', '30 g boulgour', '20 g cabillaud', '½  citron(s)', '1 c. à café huile(s) végétale(s)']</t>
  </si>
  <si>
    <t>Fondue de poireaux au riz et maquereau.html</t>
  </si>
  <si>
    <t>['20 g riz', '125 g poireau(x)', '1 c. à café crème', '15 g maquereau', '½  citron(s)']</t>
  </si>
  <si>
    <t>Fraîcheur de melon, concombre et menthe à la crevette.html</t>
  </si>
  <si>
    <t>['100 g concombre', '100 g melon', "1 c. à café huile d'olive", '1 feuilles menthe', '2  crevette(s)']</t>
  </si>
  <si>
    <t>Frites de butternut au curry.html</t>
  </si>
  <si>
    <t>['300 g butternut', '2 c. à soupe huile d’olive', '1 c. à café fécule de maïs', '1 c. à café curry']</t>
  </si>
  <si>
    <t>Frites de carotte.html</t>
  </si>
  <si>
    <t>['200 g carotte(s)', '1 c. à café huile(s) végétale(s)', '1 c. à café farine', '¼ c. à café paprika']</t>
  </si>
  <si>
    <t>Frites de carottes et sauce au cumin.html</t>
  </si>
  <si>
    <t>['200 g carotte(s)', '1  petit-suisse', '1 c. à café huile(s) végétale(s)', '1 c. à café farine', '1 pincée cumin', '1 pincée paprika']</t>
  </si>
  <si>
    <t>Frites de patate douce et boulettes de merlan et fenouil.html</t>
  </si>
  <si>
    <t>['100 g patate(s) douce(s)', '1 c. à café huile d’olive', '1 pincée(s) paprika', '1 c. à café farine', '90 g fenouil', '10 g merlan', '20 g farine', '1 c. à soupe huile d’olive', '2 brin(s) ciboulette', '  chapelure']</t>
  </si>
  <si>
    <t>Frites de patate douce et coulis de tomate au boeuf.html</t>
  </si>
  <si>
    <t>['150 g patate(s) douce(s)', '50 g coulis de tomates', '10 g boeuf haché', '1 c. à café huile(s) végétale(s)', '1 c. à café farine', '1 pincée cumin']</t>
  </si>
  <si>
    <t>Frites de patate douce et crème de pruneaux.html</t>
  </si>
  <si>
    <t>['100 g patate(s) douce(s)', '50 g pruneau(x)', '1 c. à café farine', '1 c. à café huile(s) végétale(s)', '1 pincée(s) paprika']</t>
  </si>
  <si>
    <t>Frites de patate douce et ketchup maison.html</t>
  </si>
  <si>
    <t>['120 g patate(s) douce(s)', '30 g coulis de tomates', '1 c. à café farine', '1 c. à café huile(s) végétale(s)', '½ c. à café fécule de maïs', '2 pincée(s) paprika', '1 pincée cannelle']</t>
  </si>
  <si>
    <t>Frites de patate douce, houmous de betterave.html</t>
  </si>
  <si>
    <t>['100 g patate(s) douce(s)', '50 g betterave(s)', '50 g pois chiches', '  huile d’olive', '  épices', '½  citron(s)']</t>
  </si>
  <si>
    <t>Frites de patates douces et carottes.html</t>
  </si>
  <si>
    <t>['100 g carotte(s)', '100 g patate(s) douce(s)', '1 c. à soupe huile d’olive', '1 c. à soupe farine', '  épices', '1  petit-suisse', '  ciboulette']</t>
  </si>
  <si>
    <t>Galets de panais à la semoule.html</t>
  </si>
  <si>
    <t>['120 g panais', '50 g semoule de couscous', "1 c. à café huile d'olive"]</t>
  </si>
  <si>
    <t>Galette au jambon et champignons.html</t>
  </si>
  <si>
    <t>['100 g champignons', '20 g jambon blanc', "1 c. à soupe huile d'olive", '1 c. à café farine', '20 g farine de sarrasin', '50 mL lait', '1 pincée muscade moulue']</t>
  </si>
  <si>
    <t>Galette monstrueuse à la citrouille.html</t>
  </si>
  <si>
    <t>['200 g purée de citrouille', '1  oeuf(s)', '50 g farine', '1 c. à soupe huile d’olive', '1 pincée(s) curry', '2 fleurettes brocoli', '  fromage à pâte dure']</t>
  </si>
  <si>
    <t>Galette roulée, mouliné de champignons et jambon.html</t>
  </si>
  <si>
    <t>['100 g champignons', '15 g jambon blanc', "1 c. à soupe huile d'olive", '1 c. à café farine', '20 g farine de sarrasin', '50 mL lait', '1 pincée muscade moulue']</t>
  </si>
  <si>
    <t>Galettes au chou vert.html</t>
  </si>
  <si>
    <t>['120 g chou vert', '75 g pomme(s) de terre', '2 c. à soupe farine', '  huile d’olive']</t>
  </si>
  <si>
    <t>Galettes aux champignons.html</t>
  </si>
  <si>
    <t>['125 g champignons', '50 g carotte(s)', '35 g farine de sarrasin', '35 mL lait', '1 c. à café huile(s) végétale(s)', '  persil']</t>
  </si>
  <si>
    <t>Galettes aux endives, pomme et avoine.html</t>
  </si>
  <si>
    <t>['150 g endive(s)', '50 g compote de pommes', "50 g flocons d'avoine", '2 c. à soupe fécule de maïs', '1 c. à café huile(s) végétale(s)', '  persil']</t>
  </si>
  <si>
    <t>Galettes aux épinards, patate douce et lotte.html</t>
  </si>
  <si>
    <t>['90 g patate(s) douce(s)', "90 g pousses d'épinards", '20 g farine', '10 g lotte', '1 c. à café huile d’olive', '  basilic']</t>
  </si>
  <si>
    <t>Galettes aux flocons d’avoine et aux carottes et houmous de poivron rouge.html</t>
  </si>
  <si>
    <t>['½  oeuf(s)', '150 g carotte(s)', "50 g flocons d'avoine", '50 mL lait', '1 filet huile d’olive', '100 g pois chiches', '1  poivron(s) rouge(s)', '  basilic', '1 pincée(s) ail semoule']</t>
  </si>
  <si>
    <t>Galettes aux légumes d’été.html</t>
  </si>
  <si>
    <t>['75 g poivron(s) rouge(s)', "60 g farine d'avoine", '50 g haricots verts', '30 g maïs', '1 c. à café huile(s) végétale(s)', '  basilic']</t>
  </si>
  <si>
    <t>Galettes champêtres au jambon.html</t>
  </si>
  <si>
    <t>['125 g champignons', '50 g pomme(s) de terre', '35 g farine de sarrasin', '35 mL lait', '10 g jambon blanc', '1 c. à café huile(s) végétale(s)', '  persil']</t>
  </si>
  <si>
    <t>Galettes champêtres.html</t>
  </si>
  <si>
    <t>['125 g champignons', '50 g pomme(s) de terre', '20 g farine de riz', '15 g farine de sarrasin', '1 c. à café huile(s) végétale(s)', '  persil']</t>
  </si>
  <si>
    <t>Galettes d’aubergines à la mozzarella.html</t>
  </si>
  <si>
    <t>['150 g aubergine(s)', '50 g farine', '20 g mozzarella', '1 c. à café huile(s) végétale(s)', '  basilic']</t>
  </si>
  <si>
    <t>Galettes d’avoine, poireaux, carottes.html</t>
  </si>
  <si>
    <t>['100 g carotte(s)', '100 g poireau(x)', '100 g flocons d’avoine', '1 pincée(s) cumin', '  huile d’olive']</t>
  </si>
  <si>
    <t>Galettes d’épinards à l’avoine.html</t>
  </si>
  <si>
    <t>['150 g épinards', '50 g fromage blanc', "50 g farine d'avoine", '40 mL lait', '1 c. à soupe fécule de maïs', '1 c. à café huile(s) végétale(s)']</t>
  </si>
  <si>
    <t>Galettes de betterave épinards et sarrasin.html</t>
  </si>
  <si>
    <t>['100 g betterave(s)', '50 g épinards', '50 g farine de sarrasin', '1 c. à café huile(s) végétale(s)', '  coriandre']</t>
  </si>
  <si>
    <t>Galettes de blé simplissimes (pour tortillas et wraps).html</t>
  </si>
  <si>
    <t>['100 g farine', '10 g huile(s) végétale(s)', '50 mL eau chaude']</t>
  </si>
  <si>
    <t>Galettes de blettes et carottes au quinoa.html</t>
  </si>
  <si>
    <t>['100 g blettes', '80 g carotte(s)', '25 g quinoa', '2 c. à soupe fécule de maïs', '1 c. à café huile(s) végétale(s)']</t>
  </si>
  <si>
    <t>Galettes de brocoli et carotte.html</t>
  </si>
  <si>
    <t>['130 g brocoli', '100 g carotte(s)', '30 g farine', '20 g fromage frais', '20 g fécule de maïs', '1 c. à café huile(s) végétale(s)']</t>
  </si>
  <si>
    <t>Galettes de butternut au quinoa.html</t>
  </si>
  <si>
    <t>['100 g butternut', '25 g quinoa', '1 c. à soupe fécule de maïs', '1 c. à café huile(s) végétale(s)']</t>
  </si>
  <si>
    <t>Galettes de butternut au saumon.html</t>
  </si>
  <si>
    <t>['150 g butternut', '40 g farine', '10 g saumon', '1 c. à café huile(s) végétale(s)', '  coriandre']</t>
  </si>
  <si>
    <t>Galettes de carotte, céleri, pommes de terre et fromage frais.html</t>
  </si>
  <si>
    <t>['50 g pomme(s) de terre', '50 g carotte(s)', '50 g céleri-branche', '20 g farine de maïs', '1 c. à café huile(s) végétale(s)', '  ciboulette', '20 g fromage frais']</t>
  </si>
  <si>
    <t>Galettes de carottes au maïs et cumin.html</t>
  </si>
  <si>
    <t>['130 g carotte(s)', '50 mL lait', '40 g farine de maïs', '1 c. à café huile(s) végétale(s)', '1 pincée cumin']</t>
  </si>
  <si>
    <t>Galettes de carottes au maïs et lanières d’omelette.html</t>
  </si>
  <si>
    <t>['130 g carotte(s)', '50 mL lait', '40 g farine de maïs', '1 c. à café huile(s) végétale(s)', '1 pincée cumin', '1  oeuf(s)']</t>
  </si>
  <si>
    <t>Galettes de carottes au quinoa.html</t>
  </si>
  <si>
    <t>['100 g carotte(s)', '25 g quinoa', '1 c. à soupe fécule de maïs', '1 c. à café huile(s) végétale(s)']</t>
  </si>
  <si>
    <t>Galettes de carottes et potiron au quinoa et fromage frais.html</t>
  </si>
  <si>
    <t>['80 g carotte(s)', '80 g potiron', '30 g quinoa', '15 g fromage frais', '1 c. à soupe fécule de maïs', '1 c. à café huile(s) végétale(s)', '1 pincée cumin']</t>
  </si>
  <si>
    <t>Galettes de carottes, courgettes et petits pois à l’avoine.html</t>
  </si>
  <si>
    <t>['50 g carotte(s)', '50 g courgette(s)', '25 g petits pois', "50 g flocons d'avoine", '1 c. à café huile(s) végétale(s)']</t>
  </si>
  <si>
    <t>Galettes de céleri-rave et boulettes de poisson au topinambour.html</t>
  </si>
  <si>
    <t>['100 g céleri-rave', '50 g pomme(s) de terre', '30 g farine', "1 c. à café huile d'olive", '25 g poisson', '50 g topinambour(s)', '1 pincée persil']</t>
  </si>
  <si>
    <t>Galettes de courge butternut au quinoa.html</t>
  </si>
  <si>
    <t>['250 g butternut', '25 g quinoa', '1  oeuf(s)', '1 c. à soupe fécule de maïs', "1 c. à soupe huile d'olive"]</t>
  </si>
  <si>
    <t>Galettes de courgettes et petits pois.html</t>
  </si>
  <si>
    <t>['100 g petits pois', '50 g courgette(s)', "50 g farine d'épeautre", '1 c. à café huile(s) végétale(s)', '  menthe']</t>
  </si>
  <si>
    <t>Galettes de haricots verts à l’avoine.html</t>
  </si>
  <si>
    <t>['150 g haricots verts', '50 g pomme(s) de terre', "30 g flocons d'avoine", '1 c. à soupe fécule de maïs', '1 c. à café huile(s) végétale(s)', '  ciboulette']</t>
  </si>
  <si>
    <t>Galettes de haricots verts.html</t>
  </si>
  <si>
    <t>['150 g haricots verts', '50 g pomme(s) de terre', "50 g farine d'avoine", '10 g fécule de maïs', '1 c. à soupe huile(s) végétale(s)', '  basilic']</t>
  </si>
  <si>
    <t>Galettes de légumes à l’avoine (petits poissons).html</t>
  </si>
  <si>
    <t>['100 g flocons d’avoine', '120 g carotte(s)', '120 g navet(s)', '20 g oignon(s)', '1 pincée(s) graines', '1 pincée(s) herbes aromatiques', '1 c. à soupe huile d’olive']</t>
  </si>
  <si>
    <t>Galettes de légumes printaniers.html</t>
  </si>
  <si>
    <t>['50 g concombre', '50 g carotte(s)', '50 g pomme(s) de terre', "40 g farine d'épeautre", '1 c. à café huile(s) végétale(s)']</t>
  </si>
  <si>
    <t>Galettes de légumes racines.html</t>
  </si>
  <si>
    <t>['50 g topinambour(s)', '50 g rutabaga(s)', '40 mL lait', '30 g farine de maïs', '1 c. à café huile(s) végétale(s)', '  persil']</t>
  </si>
  <si>
    <t>Galettes de légumes.html</t>
  </si>
  <si>
    <t>['60 g farine', '60 g carotte(s)', '50 g tomate(s)', '50 g courgette(s)', '40 g navet(s)', '1 c. à café huile(s) végétale(s)', '1 pincée(s) ras el hanout', '  coriandre']</t>
  </si>
  <si>
    <t>Galettes de millet aux carottes et fromage frais.html</t>
  </si>
  <si>
    <t>['100 g carotte(s)', '25 g millet', '20 g fromage frais', '1 c. à soupe fécule de maïs', '1 c. à café huile(s) végétale(s)', '1 pincée cumin']</t>
  </si>
  <si>
    <t>Galettes de millet aux poireaux et colin.html</t>
  </si>
  <si>
    <t>['100 g blanc(s) de poireau', '25 g millet', '10 g colin', '1 c. à soupe fécule de maïs', '1 c. à café huile(s) végétale(s)', '  persil']</t>
  </si>
  <si>
    <t>Galettes de millet aux poireaux.html</t>
  </si>
  <si>
    <t>['100 g blanc(s) de poireau', '25 g millet', '1 c. à soupe fécule de maïs', '1 c. à café huile(s) végétale(s)', '  persil']</t>
  </si>
  <si>
    <t>Galettes de millet et carottes au cumin.html</t>
  </si>
  <si>
    <t>['50 g millet', '150 g carotte(s)', '1 c. à soupe fécule de maïs', '1 c. à café cumin']</t>
  </si>
  <si>
    <t>Galettes de navet au quinoa et fromage frais.html</t>
  </si>
  <si>
    <t>['100 g navet(s)', '25 g quinoa', '10 g fromage frais', '1 c. à soupe fécule de maïs', '1 c. à café huile d’olive']</t>
  </si>
  <si>
    <t>Galettes de navet.html</t>
  </si>
  <si>
    <t>['80 g navet(s)', '50 g pomme(s) de terre', '50 mL lait', '40 g farine', '1 c. à café huile(s) végétale(s)', '1 c. à café fécule de maïs', '  persil']</t>
  </si>
  <si>
    <t>Galettes de panais à la semoule et au jambon.html</t>
  </si>
  <si>
    <t>['120 g panais', '50 g semoule de couscous', '10 g jambon blanc', '1 c. à café huile(s) végétale(s)', '1 c. à café fécule de maïs']</t>
  </si>
  <si>
    <t>Galettes de panais à la semoule.html</t>
  </si>
  <si>
    <t>['120 g panais', '50 g semoule de couscous', '1 c. à café huile(s) végétale(s)', '1 c. à café fécule de maïs']</t>
  </si>
  <si>
    <t>Galettes de panais au fromage.html</t>
  </si>
  <si>
    <t>['150 g panais', '30 g farine', '10 g fromage râpé', "1 c. à café huile d'olive"]</t>
  </si>
  <si>
    <t>Galettes de patate douce brocoli et fromage frais.html</t>
  </si>
  <si>
    <t>['130 g brocoli', '100 g patate(s) douce(s)', '30 g fécule de maïs', '20 g fromage frais', '1 c. à café huile(s) végétale(s)']</t>
  </si>
  <si>
    <t>Galettes de patate douce et compotée de figues.html</t>
  </si>
  <si>
    <t>['100 g patate douce', '60 g figue(s)', '40 g farine', '5 g beurre']</t>
  </si>
  <si>
    <t>Galettes de patate douce et haricots verts au jambon.html</t>
  </si>
  <si>
    <t>['100 g patate(s) douce(s)', '100 g haricots verts', "40 g farine d'avoine", '10 g jambon blanc', '1 c. à café huile(s) végétale(s)', '1 pincée paprika']</t>
  </si>
  <si>
    <t>Galettes de patate douce et haricots verts.html</t>
  </si>
  <si>
    <t>['100 g patate(s) douce(s)', '100 g haricots verts', "40 g farine d'avoine", '1 c. à café huile(s) végétale(s)', '1 pincée paprika']</t>
  </si>
  <si>
    <t>Galettes de patate douce, haricots verts et merlan.html</t>
  </si>
  <si>
    <t>['150 g patate(s) douce(s)', '50 g haricots verts', '10 g  merlan', '4 c. à soupe farine', '¼ c. à café  paprika', '  huile d’olive']</t>
  </si>
  <si>
    <t>Galettes de patates douces abricots et sauge.html</t>
  </si>
  <si>
    <t>['100 g patate(s) douce(s)', '100 g abricot(s)', '50 g farine de riz', '1 c. à soupe fécule de maïs', '1 c. à café huile(s) végétale(s)', '1 feuille(s) sauge']</t>
  </si>
  <si>
    <t>Galettes de petits pois à l’aneth.html</t>
  </si>
  <si>
    <t>['100 g petits pois', '50 mL lait', '40 g farine de riz', '1 c. à café huile(s) végétale(s)', '  aneth']</t>
  </si>
  <si>
    <t>Galettes de petits pois carottes au cabillaud.html</t>
  </si>
  <si>
    <t>['60 g petits pois', "60 g farine d'épeautre", '50 g carotte(s)', '50 mL lait', '10 g cabillaud', '1 c. à café huile(s) végétale(s)', '1 pincée thym']</t>
  </si>
  <si>
    <t>Galettes de petits pois carottes.html</t>
  </si>
  <si>
    <t>['60 g petits pois', '60 g farine', '50 g carotte(s)', '50 mL lait', '1 c. à café huile(s) végétale(s)', '1 pincée thym']</t>
  </si>
  <si>
    <t>Galettes de petits pois.html</t>
  </si>
  <si>
    <t>['100 g petits pois', '50 mL lait', '40 g farine de riz', '1 c. à café huile(s) végétale(s)', '1 c. à café fécule de maïs']</t>
  </si>
  <si>
    <t>Galettes de poireaux à l’avoine et au saumon.html</t>
  </si>
  <si>
    <t>['150 g blanc(s) de poireau', "50 g flocons d'avoine", '20 mL lait', '10 g saumon', '2 c. à café fécule de maïs', '1 c. à café huile(s) végétale(s)', '  persil']</t>
  </si>
  <si>
    <t>Galettes de poireaux à l’avoine.html</t>
  </si>
  <si>
    <t>['150 g blanc(s) de poireau', "50 g flocons d'avoine", '20 mL lait', '2 c. à café fécule de maïs', '1 c. à café huile(s) végétale(s)', '  persil']</t>
  </si>
  <si>
    <t>Galettes de poireaux avoine et jambon.html</t>
  </si>
  <si>
    <t>['150 g blanc(s) de poireau', "50 g flocons d'avoine", '20 mL lait', '10 g jambon blanc', '2 c. à café fécule de maïs', '1 c. à café huile(s) végétale(s)', '  persil']</t>
  </si>
  <si>
    <t>Galettes de poireaux et pommes de terre.html</t>
  </si>
  <si>
    <t>['80 g blanc(s) de poireau', '50 g pomme(s) de terre', '40 g farine de pois chiches', '1 c. à café huile(s) végétale(s)', '1 c. à café fécule de maïs']</t>
  </si>
  <si>
    <t>Galettes de poireaux et riz au jambon.html</t>
  </si>
  <si>
    <t>['150 g blanc(s) de poireau', '20 g riz', '2 c. à café fécule de maïs', '10 g jambon blanc', '1 c. à café huile(s) végétale(s)']</t>
  </si>
  <si>
    <t>Galettes de poireaux et riz.html</t>
  </si>
  <si>
    <t>['150 g blanc(s) de poireau', '20 g riz', '2 c. à café fécule de maïs', '1 c. à café huile d’olive']</t>
  </si>
  <si>
    <t>Galettes de poireaux, pommes de terre et poisson.html</t>
  </si>
  <si>
    <t>['80 g blanc(s) de poireau', '50 g pomme(s) de terre', '40 g farine de pois chiches', '10 g poisson', '1 c. à café huile(s) végétale(s)', '1 c. à café fécule de maïs']</t>
  </si>
  <si>
    <t>Galettes de poivron rouge à l’avoine.html</t>
  </si>
  <si>
    <t>['150 g poivron(s) rouge(s)', "50 g flocons d'avoine", '2 c. à soupe fécule de maïs', '1 c. à café huile(s) végétale(s)']</t>
  </si>
  <si>
    <t>Galettes de pommes de terre et tomates au boeuf.html</t>
  </si>
  <si>
    <t>['100 g tomates cerises', '50 g pomme(s) de terre', '25 g farine de maïs', '1 c. à soupe fécule de maïs', '10 g boeuf haché', '1 c. à café huile(s) végétale(s)', '  basilic']</t>
  </si>
  <si>
    <t>Galettes de pommes de terre et tomates.html</t>
  </si>
  <si>
    <t>['100 g tomates cerises', '50 g pomme(s) de terre', '25 g farine de maïs', '1 c. à soupe fécule de maïs', '1 c. à café huile(s) végétale(s)', '  basilic']</t>
  </si>
  <si>
    <t>Galettes de pommes de terre tomate et poivron.html</t>
  </si>
  <si>
    <t>['100 g pomme(s) de terre', '50 g tomate(s)', '50 g poivron(s) rouge(s)', '50 g farine', '1 c. à café huile(s) végétale(s)']</t>
  </si>
  <si>
    <t>Galettes de pommes de terre tomate et poulet.html</t>
  </si>
  <si>
    <t>['60 g farine', '50 g pomme(s) de terre', '50 g pulpe de tomates', '50 mL lait', '20 g poulet', '1 c. à café huile(s) végétale(s)', '  basilic']</t>
  </si>
  <si>
    <t>Galettes de potimarron au curcuma.html</t>
  </si>
  <si>
    <t>['100 g potimarron', '40 mL lait', '30 g farine de maïs', '1 c. à café huile(s) végétale(s)', '1 pincée(s) curcuma']</t>
  </si>
  <si>
    <t>Galettes de potimarron au curry.html</t>
  </si>
  <si>
    <t>['150 g potimarron', '60 g farine de khorasan', '50 mL lait', '1 c. à café huile(s) végétale(s)', '1 pincée(s) curry', '  coriandre']</t>
  </si>
  <si>
    <t>Galettes de potimarron au quinoa.html</t>
  </si>
  <si>
    <t>['100 g potimarron', '25 g quinoa', '1 c. à soupe fécule de maïs', '1 c. à café huile d’olive']</t>
  </si>
  <si>
    <t>Galettes de potimarron aux noisettes.html</t>
  </si>
  <si>
    <t>['150 g potimarron', '60 g farine de khorasan', '50 mL lait', '1 c. à soupe noisettes en poudre', '1 c. à café huile(s) végétale(s)', '  coriandre']</t>
  </si>
  <si>
    <t>Galettes de potimarron et champignons et fromage frais.html</t>
  </si>
  <si>
    <t>['100 g potimarron', '50 g champignons de Paris', '30 g farine de sarrasin', '30 g farine de riz', '50 mL lait', '15 g fromage frais', '1 c. à café huile(s) végétale(s)', '  persil']</t>
  </si>
  <si>
    <t>Galettes de potiron à l’avoine.html</t>
  </si>
  <si>
    <t>['100 g potiron', '40 mL lait', "30 g farine d'avoine", '1 c. à café huile(s) végétale(s)', '1 c. à café fécule de maïs', '1 pincée cumin']</t>
  </si>
  <si>
    <t>Galettes de potiron au maïs.html</t>
  </si>
  <si>
    <t>['100 g potiron', '40 mL lait', '30 g farine de maïs', '1 c. à café huile(s) végétale(s)', '1 c. à café fécule de maïs', '1 pincée curcuma']</t>
  </si>
  <si>
    <t>Galettes de potiron avoine et boeuf.html</t>
  </si>
  <si>
    <t>['100 g potiron', '40 mL lait', "30 g farine d'avoine", '10 g boeuf haché', '1 c. à café huile(s) végétale(s)', '1 c. à café fécule de maïs', '1 pincée cumin']</t>
  </si>
  <si>
    <t>Galettes de quinoa aux courgettes et haricots verts.html</t>
  </si>
  <si>
    <t>['50 g courgette(s)', '50 g haricots verts', '25 g quinoa', '1 c. à soupe fécule de maïs', '1 c. à café huile(s) végétale(s)']</t>
  </si>
  <si>
    <t>Galettes de riz aux courgettes brocoli.html</t>
  </si>
  <si>
    <t>['75 g brocoli', '75 g courgette(s)', '20 g riz', '3 c. à café fécule de maïs', '1 c. à café huile(s) végétale(s)']</t>
  </si>
  <si>
    <t>Galettes de riz aux radis roses.html</t>
  </si>
  <si>
    <t>['150 g radis rose', '20 g riz', '3 c. à café fécule de maïs', '1 c. à café huile(s) végétale(s)']</t>
  </si>
  <si>
    <t>Galettes de semoule au poulet et aux carottes.html</t>
  </si>
  <si>
    <t>['150 g carotte(s)', '50 g semoule de couscous', '10 g poulet', '1 c. à café huile d’olive']</t>
  </si>
  <si>
    <t>Galettes de semoule aux légumes d’automne.html</t>
  </si>
  <si>
    <t>['50 g semoule de couscous', '25 g butternut', '25 g poireau(x)', '25 g navet(s)', '1 c. à café fécule de maïs', '1 c. à café huile(s) végétale(s)']</t>
  </si>
  <si>
    <t>Galettes de semoule aux légumes pour bébé (et grands).html</t>
  </si>
  <si>
    <t>['50 g semoule de couscous', '50 g purée de carottes', '50 g purée de poireaux', '1 c. à soupe huile(s) végétale(s)', '50 mL eau']</t>
  </si>
  <si>
    <t>Galettes de semoule aux poireaux.html</t>
  </si>
  <si>
    <t>['120 g poireau(x)', '50 g semoule de couscous', "1 c. à soupe huile d'olive"]</t>
  </si>
  <si>
    <t>Galettes de semoule et potimarron.html</t>
  </si>
  <si>
    <t>['100 g potimarron', '50 g semoule de couscous', '20 g farine', '1 c. à café huile(s) végétale(s)', '  coriandre']</t>
  </si>
  <si>
    <t>Galettes de songe et brèdes.html</t>
  </si>
  <si>
    <t>['200 g songe(s)', '100 g feuilles de brèdes triées', '1 c. à soupe huile d’olive']</t>
  </si>
  <si>
    <t>Galettes épinards polenta.html</t>
  </si>
  <si>
    <t>['50 g épinards', '50 g polenta', '½  échalote(s)', '1 c. à café huile(s) végétale(s)']</t>
  </si>
  <si>
    <t>Galettes façon boeuf bourguignon.html</t>
  </si>
  <si>
    <t>['50 g carotte(s)', '50 g coulis de tomates', '50 g pomme(s) de terre', '20 g farine de maïs', '10 g boeuf haché', '1 c. à café huile(s) végétale(s)', '1 pincée thym']</t>
  </si>
  <si>
    <t>Galettes façon curry de poisson, carottes et ananas.html</t>
  </si>
  <si>
    <t>['100 g carotte(s)', '50 mL lait de coco', '40 g farine de maïs', '30 g ananas', '10 g cabillaud', '1 pincée curry']</t>
  </si>
  <si>
    <t>Galettes polenta épinards, avocat.html</t>
  </si>
  <si>
    <t>['25 g polenta', '100 g épinards', '1  oeuf(s)', '  huile(s) végétale(s)', '1  avocat(s)']</t>
  </si>
  <si>
    <t>Galettes printanières.html</t>
  </si>
  <si>
    <t>['50 g carotte(s)', '40 mL lait', '30 g farine de maïs', '25 g petits pois', '25 g navet(s)', '1 c. à café huile(s) végétale(s)', '1 c. à café fécule de maïs']</t>
  </si>
  <si>
    <t>Gaspacho de concombre.html</t>
  </si>
  <si>
    <t>['200 g concombre', '20 g pain', '1 c. à café huile(s) végétale(s)', 'quelques feuilles menthe']</t>
  </si>
  <si>
    <t>Gaspacho vert de petits pois, concombre, feta et menthe.html</t>
  </si>
  <si>
    <t>['130 g concombre', '1 feuilles menthe', '60 g petits pois', '20 g feta', '1 c. à café huile(s) végétale(s)']</t>
  </si>
  <si>
    <t>Gâteaux de riz salés aux courgettes et boeuf haché.html</t>
  </si>
  <si>
    <t>['10 g boeuf haché', '50 g riz', '1  courgette(s)', '¼  oignon(s)', '1  oeuf(s)', '60 mL lait', '1 c. à café curry', '  huile d’olive']</t>
  </si>
  <si>
    <t>Gaufres à l’aubergine, mozzarella et dinde.html</t>
  </si>
  <si>
    <t>['½  aubergine(s)', '50 g pomme(s) de terre', '10 g dinde', '¼  oignon(s)', '10 g mozzarella', '4 c. à soupe farine', '1 filet huile d’olive', '  basilic', '  poivre']</t>
  </si>
  <si>
    <t>Gaufres à la betterave.html</t>
  </si>
  <si>
    <t>['200 g betterave(s)', '200 g farine', '200 mL lait', '25 g beurre', '2  oeuf(s)', '½ sachet(s) poudre à lever']</t>
  </si>
  <si>
    <t>Gaufres au maïs et fromage blanc à la ciboulette.html</t>
  </si>
  <si>
    <t>['200 g maïs', '100 mL lait', '60 g farine de maïs', '30 g fromage blanc', '1 c. à café huile d’olive', '1 pincée(s) paprika', '  ciboulette']</t>
  </si>
  <si>
    <t>Gaufres aux 4 légumes.html</t>
  </si>
  <si>
    <t>['50 g blanc(s) de poireau', '50 g panais', '50 g carotte(s)', '50 g céleri-branche', '60 g farine', '1 c. à café huile(s) végétale(s)', '  coriandre']</t>
  </si>
  <si>
    <t>Gaufres aux carottes et lentilles corail.html</t>
  </si>
  <si>
    <t>['100 g lentilles corail', '200 g carotte(s)', '100 g farine', '2  oeuf(s)', '50 g beurre', '1  yaourt nature', '1 c. à café curry']</t>
  </si>
  <si>
    <t>Gaufres aux carottes et maïs et tartinade de poivron au poulet.html</t>
  </si>
  <si>
    <t>['100 g carotte(s)', '50 g maïs', '50 g poivron(s) rouge(s)', '30 g farine de maïs', '10 g fromage frais', '10 g poulet', '1 c. à café huile(s) végétale(s)']</t>
  </si>
  <si>
    <t>Gaufres aux carottes et maïs.html</t>
  </si>
  <si>
    <t>['100 g carotte(s)', '50 g maïs', '30 g farine de maïs', '1 c. à café huile(s) végétale(s)']</t>
  </si>
  <si>
    <t>Gaufres aux carottes, maïs et guacamole.html</t>
  </si>
  <si>
    <t>['100 g carotte(s)', '50 g maïs', '30 g farine de maïs', '1 c. à café huile(s) végétale(s)', '½  avocat(s)', '1 c. à café jus de citron', '1 pincée cumin', '1 pincée paprika']</t>
  </si>
  <si>
    <t>Gaufres aux carottes, maïs et sardines.html</t>
  </si>
  <si>
    <t>['100 g carotte(s)', '50 g maïs', '30 g farine de maïs', '10 g sardine', '1 c. à café huile(s) végétale(s)']</t>
  </si>
  <si>
    <t>Gaufres aux légumes façon pizza.html</t>
  </si>
  <si>
    <t>['1  courgette', '100 g coulis de tomates', '200 g farine', '2  oeuf(s)', '1  mozzarella', '1 poignée(s) olives', '1 c. à soupe huile d’olive', '  origan']</t>
  </si>
  <si>
    <t>Gaufres aux petits légumes et au jambon.html</t>
  </si>
  <si>
    <t>['60 mL lait', '60 g farine', '50 g petits pois', '50 g carotte(s)', '50 g pomme(s) de terre', '10 g jambon blanc', '1 c. à café huile(s) végétale(s)', '  persil']</t>
  </si>
  <si>
    <t>Gaufres aux petits légumes et cabillaud.html</t>
  </si>
  <si>
    <t>['60 mL lait', '50 g navet(s)', '50 g carotte(s)', '50 g petits pois', "50 g farine d'avoine", '10 g cabillaud', '1 c. à café huile(s) végétale(s)', '  persil']</t>
  </si>
  <si>
    <t>Gaufres aux petits légumes.html</t>
  </si>
  <si>
    <t>['60 mL lait', '60 g farine', '50 g pomme(s) de terre', '50 g carotte(s)', '50 g petits pois', '1 c. à café huile(s) végétale(s)', '  persil']</t>
  </si>
  <si>
    <t>Gaufres carotte jambon maïs et tartinade aux haricots verts.html</t>
  </si>
  <si>
    <t>['250 g carotte(s)', '50 g maïs', '10 g jambon blanc', '80 g farine', '1 c. à café poudre à lever', '¼ c. à café cumin', '2  oeuf(s)', '1 c. à soupe  huile d’olive', '50 g haricots verts', '1 c. à café crème fraîche']</t>
  </si>
  <si>
    <t>Gaufres concombre, petits pois et feta.html</t>
  </si>
  <si>
    <t>['130 g concombre', '70 g petits pois', '2 c. à soupe farine de blé', '2 c. à soupe farine de riz', '10 g feta', '1 c. à café huile(s) végétale(s)', '  menthe']</t>
  </si>
  <si>
    <t>Gaufres de courgette et concombre.html</t>
  </si>
  <si>
    <t>['130 g concombre', '70 g courgette(s)', "50 g farine d'avoine", '1 c. à soupe fécule de maïs', '1 c. à café huile(s) végétale(s)']</t>
  </si>
  <si>
    <t>Gaufres de patate douce aux noisettes.html</t>
  </si>
  <si>
    <t>['150 g patate(s) douce(s)', '90 mL lait', '3 c. à soupe farine de pois chiches', '1 c. à soupe farine', '15 g noisettes en poudre', '1 c. à soupe huile(s) végétale(s)']</t>
  </si>
  <si>
    <t>Gaufres de patate douce et crème de poireaux.html</t>
  </si>
  <si>
    <t>['100 g patate(s) douce(s)', '60 mL lait', '50 g blanc(s) de poireau', '2 c. à soupe farine de pois chiches', '1 c. à soupe farine', '1 c. à café huile(s) végétale(s)', '1 c. à café crème fraîche']</t>
  </si>
  <si>
    <t>Gaufres de patate douce.html</t>
  </si>
  <si>
    <t>['300 g patate(s) douce(s)', '80 g farine', '2  oeuf(s)', '1 c. à soupe huile(s) végétale(s)', '1 c. à café poudre à lever', '  épices']</t>
  </si>
  <si>
    <t>Gaufres de petits pois concombre et feta.html</t>
  </si>
  <si>
    <t>['130 g concombre', '70 g petits pois', '4 c. à soupe farine', '10 g feta', '1 c. à soupe huile(s) végétale(s)', '½ c. à café herbes aromatiques']</t>
  </si>
  <si>
    <t>Gaufres de petits pois.html</t>
  </si>
  <si>
    <t>['150 g petits pois', '2 c. à soupe fécule de maïs', '25 mL lait', '1 c. à café huile(s) végétale(s)', '1 pincée herbes aromatiques']</t>
  </si>
  <si>
    <t>Gaufres de pomme de terre (façon röstis).html</t>
  </si>
  <si>
    <t>['500 g pomme(s) de terre', '1  oeuf(s)', '100 g farine', '120 mL lait', '1 c. à soupe huile d’olive']</t>
  </si>
  <si>
    <t>Gaufres de potimarron aux lentilles corail.html</t>
  </si>
  <si>
    <t>['100 g potimarron', '50 g farine', '50 g fromage blanc', '40 g lentilles corail', '1 c. à café huile(s) végétale(s)', '1 pincée curry']</t>
  </si>
  <si>
    <t>Gaufres épinards patate douce (sans oeuf).html</t>
  </si>
  <si>
    <t>["100 g pousses d'épinards", '50 g patate(s) douce(s)', '4 c. à soupe farine', '1 filet huile(s) végétale(s)']</t>
  </si>
  <si>
    <t>Gaufres tex-mex.html</t>
  </si>
  <si>
    <t>['150 g poivron(s) rouge(s)', '50 g maïs', '80 g farine', '20 g boeuf haché', '1  oeuf(s)', '1 c. à soupe  huile(s) végétale(s)', '1 c. à café poudre à lever', '½ c. à café herbes de Provence']</t>
  </si>
  <si>
    <t>Gnocchis de betterave.html</t>
  </si>
  <si>
    <t>['40 g betterave(s)', '40 g farine', '100 g pomme(s) de terre']</t>
  </si>
  <si>
    <t>Gnocchis de carottes et boeuf haché avec son pesto au basilic.html</t>
  </si>
  <si>
    <t>['50 g carotte(s)', '35 g pomme(s) de terre', '45 g farine', '10 g boeuf haché', '5 feuille(s) basilic', '1 c. à soupe  huile d’olive', '5 g pignons de pin', '5 g parmesan']</t>
  </si>
  <si>
    <t>Gnocchis de carottes et sa crème au fenouil.html</t>
  </si>
  <si>
    <t>['50 g carotte(s)', '45 g farine', '35 g pomme(s) de terre', '40 g fenouil', '10 g crème fraîche']</t>
  </si>
  <si>
    <t>Gnocchis de haricots verts et sauce tomate.html</t>
  </si>
  <si>
    <t>['50 g haricots verts', '45 g farine', '35 g pomme(s) de terre', '60 g tomate(s)', '1 pincée(s) herbes aromatiques']</t>
  </si>
  <si>
    <t>Gnocchis de panais au sarrasin.html</t>
  </si>
  <si>
    <t>['120 g panais', '1 c. à soupe farine de sarrasin', '1 c. à soupe fécule de maïs']</t>
  </si>
  <si>
    <t>Gnocchis de patate douce et compotée de figues.html</t>
  </si>
  <si>
    <t>['150 g patate(s) douce(s)', '35 g farine', '60 g figue(s)', '5 g beurre']</t>
  </si>
  <si>
    <t>Gnocchis de poivrons et crème de maïs au boeuf.html</t>
  </si>
  <si>
    <t>['50 g poivron', '50 g maïs', '45 g farine', '35 g pomme de terre', '10 g boeuf haché', '1 c. à café huile(s) végétale(s)']</t>
  </si>
  <si>
    <t>Gnocchis de poivrons et crème de maïs.html</t>
  </si>
  <si>
    <t>['50 g poivron(s) rouge(s)', '35 g pomme(s) de terre', '45 g farine', '50 g maïs', '1 filet huile(s) végétale(s)']</t>
  </si>
  <si>
    <t>Gnocchis de pommes de terre et carottes.html</t>
  </si>
  <si>
    <t>['150 g carotte(s)', '150 g pomme(s) de terre', '1 pincée(s) cumin', '100 g farine']</t>
  </si>
  <si>
    <t>Gratin de chou-fleur au jambon.html</t>
  </si>
  <si>
    <t>['250 g chou-fleur', '20 g jambon blanc', '1 c. à soupe crème fraîche', '  parmesan']</t>
  </si>
  <si>
    <t>Gratin de chouchou.html</t>
  </si>
  <si>
    <t>['200 g chayote(s)', '1 c. à café huile d’olive', '1 c. à café farine', '100 mL lait', '1 pincée fromage râpé', '1 pincée thym']</t>
  </si>
  <si>
    <t>Gratin de crozets à la fondue de poireaux.html</t>
  </si>
  <si>
    <t>['130 g poireau(x)', '20 g crozets', '10 g reblochon', '1 c. à soupe crème']</t>
  </si>
  <si>
    <t>Gratin de pâtes aux épinards et au thon.html</t>
  </si>
  <si>
    <t>['25 g pâtes', "130 g pousses d'épinards", '15 à 20 g thon', '1 c. à café farine', "1 c. à café huile d'olive", '50 mL lait']</t>
  </si>
  <si>
    <t>Gratin de pomme de terre, sauce tomate au céleri.html</t>
  </si>
  <si>
    <t>['125 g pomme(s) de terre', '1 c. à soupe crème', '¼ gousse ail', '1 pincée persil', '50 mL coulis de tomates', '50 g céleri-branche', '¼  oignon(s)', '1 pincée fromage râpé', '1 pincée thym']</t>
  </si>
  <si>
    <t>Gratin fondant de chou-fleur au jambon.html</t>
  </si>
  <si>
    <t>['130 g chou-fleur', '60 g pomme(s) de terre', '15 g jambon blanc', "1 c. à café huile d'olive", '1 c. à café farine', '50 mL lait', '1 pincée muscade moulue']</t>
  </si>
  <si>
    <t>Gruau aux poireaux.html</t>
  </si>
  <si>
    <t>["20 g flocons d'avoine", '120 g poireau(x)', '1 c. à café huile(s) végétale(s)']</t>
  </si>
  <si>
    <t>Gyozas aux légumes.html</t>
  </si>
  <si>
    <t>['100 g farine', '50 mL eau tiède', '  mélange de légumes au choix', '  gingembre frais', '  coriandre', '  huile(s) végétale(s)']</t>
  </si>
  <si>
    <t>Harcha au fromage et navets au curcuma.html</t>
  </si>
  <si>
    <t>['50 g semoule fine', '10 g fromage frais', '1 pincée persil', '150 g navet(s)', '1 pincée curcuma', '½ c. à café poudre à lever', "1 c. à café huile d'olive"]</t>
  </si>
  <si>
    <t>Harcha au thon et persil.html</t>
  </si>
  <si>
    <t>['55 g semoule fine', '½ c. à café poudre à lever', '1 c. à soupe huile d’olive', '20 g thon', '  persil', '30 mL eau']</t>
  </si>
  <si>
    <t>Houmous de haricots blancs et ses galettes aux légumes.html</t>
  </si>
  <si>
    <t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</si>
  <si>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>Jardinière de légumes (version DME).html</t>
  </si>
  <si>
    <t>['50 g brocoli', '50 g carotte(s)', '50 g chou-fleur', '30 g fromage blanc', '  ciboulette']</t>
  </si>
  <si>
    <t>Joue de boeuf au curry et semoule.html</t>
  </si>
  <si>
    <t>['25 g joue de boeuf', '75 g carotte(s)', '50 g navet(s)', '¼ g oignon(s) jaune(s)', '25 g semoule de couscous', "1 c. à café huile d'olive", '1 pincée herbes aromatiques', ' pincée curry']</t>
  </si>
  <si>
    <t>Joue de lotte-riz au pesto d’épinards.html</t>
  </si>
  <si>
    <t>['15 g riz', '15 g lotte', '130 g épinards', '10 g noix de cajou', '10 g comté', "1 c. à café huile d'olive", '½  citron(s)']</t>
  </si>
  <si>
    <t>Julienne de légumes et boulettes de lentilles corail.html</t>
  </si>
  <si>
    <t>['90 g courgette(s)', '90 g carotte(s)', '25 g lentilles corail', '10 g fromage frais', '1 c. à soupe farine', '1 pincée herbes aromatiques', '1 c. à café huile(s) végétale(s)']</t>
  </si>
  <si>
    <t>Lanières d’omelette.html</t>
  </si>
  <si>
    <t>['1  oeuf(s)', '1 c. à café huile d’olive']</t>
  </si>
  <si>
    <t>Lapin mijoté aux champignons, carottes et quinoa.html</t>
  </si>
  <si>
    <t>['20 g lapin', '75 g champignons', '75 g carotte(s)', '20 g oignon(s) jaune(s)', '15 g quinoa', '1 c. à café crème', "1 c. à café huile d'olive", '1 pincée herbes aromatiques']</t>
  </si>
  <si>
    <t>Légumes au curry et riz.html</t>
  </si>
  <si>
    <t>['20 g riz', '50 g navet(s)', '50 g carotte(s)', '50 g poireau(x)', '¼  oignon(s)', '1 c. à café crème', '1 pincée curry']</t>
  </si>
  <si>
    <t>Lentilles à la courge butternut.html</t>
  </si>
  <si>
    <t>['15 g lentilles vertes', '200 g butternut', '1 c. à café huile(s) végétale(s)', '1 pincée épices', '1 pincée herbes aromatiques']</t>
  </si>
  <si>
    <t>Lentilles au potimarron et noisettes.html</t>
  </si>
  <si>
    <t>['220 g potiron', '20 g lentilles vertes', '1 c. à café huile(s) végétale(s)', '1 c. à soupe noisettes en poudre', '  coriandre', ' pincée bicarbonate de soude alimentaire']</t>
  </si>
  <si>
    <t>Lentilles carottes au boeuf.html</t>
  </si>
  <si>
    <t>['15 g lentilles vertes', '150 g carotte(s)', '¼  oignon(s)', '20 g boeuf', "1 c. à café huile d'olive", '1 c. à café huile(s) végétale(s)']</t>
  </si>
  <si>
    <t>Maquereau au beurre citronné, riz et petits légumes.html</t>
  </si>
  <si>
    <t>['25 g riz', '50 g navet(s)', '50 g carotte(s)', '50 g poireau(x)', '¼  oignon(s)', '20 g maquereau', '1 noisette beurre', '½  citron(s)']</t>
  </si>
  <si>
    <t>Méli-mélo de légumes au jambon.html</t>
  </si>
  <si>
    <t>['60 g haricots verts', '90 g carotte(s)', '60 g maïs', '1 c. à café huile(s) végétale(s)', '15 g jambon blanc']</t>
  </si>
  <si>
    <t>Méli-mélo de légumes mouliné.html</t>
  </si>
  <si>
    <t>['60 g haricots verts', '90 g carotte(s)', '60 g maïs', '1 c. à café huile(s) végétale(s)']</t>
  </si>
  <si>
    <t>Méli-mélo de légumes.html</t>
  </si>
  <si>
    <t>['50 g haricots verts', '50 g tomate(s)', '60 g carotte(s)', '60 g poivron(s) rouge(s)', '1 c. à café huile(s) végétale(s)', '  herbes aromatiques']</t>
  </si>
  <si>
    <t>Méli-mélo de légumes.html</t>
  </si>
  <si>
    <t>['80 g haricots verts', '100 g carotte(s)', '50 g maïs', '1 c. à café huile(s) végétale(s)']</t>
  </si>
  <si>
    <t>Méli-mélo de quinoa, patate douce, carotte et brocoli et fromage de brebis.html</t>
  </si>
  <si>
    <t>['15 g quinoa', '60 g patate(s) douce(s)', '75 g carotte(s)', '75 g brocoli', '1 c. à café huile(s) végétale(s)', '20 g fromage frais']</t>
  </si>
  <si>
    <t>Melon en morceaux et menthe fraîche.html</t>
  </si>
  <si>
    <t>['200 g melon', '  menthe']</t>
  </si>
  <si>
    <t>Mijoté de boeuf aux légumes et sa polenta.html</t>
  </si>
  <si>
    <t>['25 g joue de boeuf', '75 g carotte(s)', '50 g navet(s)', '¼ g oignon(s) jaune(s)', '15 g polenta', "1 c. à café huile d'olive", '1 pincée herbes aromatiques']</t>
  </si>
  <si>
    <t>Mijoté de veau et épinards aux pommes de terre.html</t>
  </si>
  <si>
    <t>['80 g pomme(s) de terre', '125 g épinards', '20 g veau', "1 c. à soupe huile d'olive", '½ gousse ail', '½  oignon(s)']</t>
  </si>
  <si>
    <t>Minestrone aux haricots blancs et pesto de persil.html</t>
  </si>
  <si>
    <t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</si>
  <si>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>Mini blanquette de dinde et riz.html</t>
  </si>
  <si>
    <t>['20 g riz', '15 g dinde', '80 g carotte(s)', '80 g champignons', '¼  oignon(s)', '1 c. à café crème fraîche', '1 pincée thym']</t>
  </si>
  <si>
    <t>Mini blinis avocat saumon.html</t>
  </si>
  <si>
    <t>['100 g farine', '1  oeuf(s)', '1  yaourt grec', '1 c. à café poudre à lever', '1 c. à café huile(s) végétale(s)', '2  avocat(s)', '50 g saumon', '20 g jus de citron', '  ciboulette']</t>
  </si>
  <si>
    <t>Mini bouchées façon « wrap » à croquer.html</t>
  </si>
  <si>
    <t>['1  galette(s) de blé', '40 g concombre', '40 g carotte(s)', '40 g avocat(s)', '20 g fromage frais', '½ tranche(s) jambon blanc']</t>
  </si>
  <si>
    <t>Mini cake potimarron châtaignes.html</t>
  </si>
  <si>
    <t>['100 g potimarron', '60 mL lait', '30 g farine de châtaignes', '30 g farine', '1 c. à café huile(s) végétale(s)', '1 c. à café poudre à lever', '1 pincée(s) romarin']</t>
  </si>
  <si>
    <t>Mini cakes au poivron rouge.html</t>
  </si>
  <si>
    <t>['1  poivron(s) rouge(s)', '1  oeuf(s)', '100 g farine', '50 g fromage blanc', '60 g lait', '1 c. à café poudre à lever', '  basilic', '1 filet huile d’olive']</t>
  </si>
  <si>
    <t>Mini cakes au potimarron et champignons.html</t>
  </si>
  <si>
    <t>['300 g potimarron', '150 g champignons', '1  oeuf(s)', '100 g farine']</t>
  </si>
  <si>
    <t>Mini cakes aux tomates et à la viande hachée.html</t>
  </si>
  <si>
    <t>['150 g  pulpe de tomates', '100 g farine', '1  oeuf(s)', '50 g fromage blanc', '30 g boeuf haché', '¼  oignon(s)', '1 c. à café poudre à lever', '  basilic', '1 filet huile d’olive']</t>
  </si>
  <si>
    <t>Mini cannelés à la courgette et au fromage de chèvre.html</t>
  </si>
  <si>
    <t>['100 g courgette(s)', '10 g fromage de chèvre', '55 g farine', '30 g farine de pois chiches', '1 c. à café poudre à lever', '2 c. à soupe huile d’olive', '75 mL lait', '  poivre']</t>
  </si>
  <si>
    <t>Mini flans au brocoli.html</t>
  </si>
  <si>
    <t>['1  oeuf(s)', '1 c. à soupe farine', '1 c. à soupe crème fraîche', '10 g parmesan', '150 g brocoli', '  basilic']</t>
  </si>
  <si>
    <t>Mini pizza de polenta aux épinards et jambon.html</t>
  </si>
  <si>
    <t>['25 g polenta', '60 g épinards', '60 g tomates cerises', '20 g jambon blanc', '  parmesan']</t>
  </si>
  <si>
    <t>Mini quiches sans pâte à la ratatouille.html</t>
  </si>
  <si>
    <t>['50 g tomate(s)', '50 g courgette(s)', '50 g aubergine(s)', '50 g poivron(s) rouge(s)', '1 c. à café huile d’olive', '¼  oignon(s)', '20 g farine', '60 mL lait', '1  oeuf(s)']</t>
  </si>
  <si>
    <t>Mini quiches sans pâte au poulet et carottes.html</t>
  </si>
  <si>
    <t>['150 g carotte(s)', '20 g poulet', '10 g oignon(s)', '1  oeuf(s)', '75 g crème liquide', '½ c. à café herbes de Provence', '1 filet huile d’olive']</t>
  </si>
  <si>
    <t>Mouliné de boeuf aux champignons.html</t>
  </si>
  <si>
    <t>['100 g champignons de Paris', '30 g carotte(s)', '20 g oignon(s)', '2 c. à soupe tomates concassées', '15 g boeuf', '50 g pomme(s) de terre', "1 c. à café huile d'olive"]</t>
  </si>
  <si>
    <t>Mouliné de boeuf façon bourguignon.html</t>
  </si>
  <si>
    <t>['100 g carotte(s)', '50 g pomme(s) de terre', '50 g coulis de tomates', '¼  oignon(s)', '15 g boeuf', "1 c. à café huile d'olive"]</t>
  </si>
  <si>
    <t>Mouliné de canard aux pruneaux, carotte et pomme de terre écrasées.html</t>
  </si>
  <si>
    <t>['100 g carotte(s)', '75 g pomme(s) de terre', '15 g canard', '2  pruneau(x)', '1 c. à café huile(s) végétale(s)']</t>
  </si>
  <si>
    <t>Mouliné de chou vert et carotte au boeuf.html</t>
  </si>
  <si>
    <t>['75 g chou vert', '75 g carotte(s)', '75 g pomme(s) de terre', '15 g boeuf', '1 c. à café huile(s) végétale(s)']</t>
  </si>
  <si>
    <t>Mouliné de chou-fleur et carottes au curry, lieu jaune.html</t>
  </si>
  <si>
    <t>['70 g chou-fleur', '70 g carotte(s)', '70 g pomme(s) de terre', '2  pruneau(x)', '15 g lieu jaune', '1 c. à café crème', '1 pincée(s) curry']</t>
  </si>
  <si>
    <t>Mouliné de chou-fleur, patate douce et carotte au curry.html</t>
  </si>
  <si>
    <t>['75 g chou-fleur', '75 g patate(s) douce(s)', '75 g carotte(s)', '1 c. à soupe coulis de tomates', '1 c. à café huile(s) végétale(s)', '1 pincée curry']</t>
  </si>
  <si>
    <t>Mouliné de choux de Bruxelles aux châtaignes.html</t>
  </si>
  <si>
    <t>['150 g choux de Bruxelles', '30 g châtaignes', '⅓  oignon(s)', " c. à soupe huile d'olive"]</t>
  </si>
  <si>
    <t>Mouliné de courgette et carotte au saumon.html</t>
  </si>
  <si>
    <t>['90 g carotte(s)', '90 g courgette(s)', '60 g pomme(s) de terre', '15 g saumon', '1 c. à café huile(s) végétale(s)']</t>
  </si>
  <si>
    <t>Mouliné de fenouil et carottes façon tajine.html</t>
  </si>
  <si>
    <t>['120 g fenouil', '120 g carotte(s)', '½  pamplemousse', '  épices', "  huile d'olive"]</t>
  </si>
  <si>
    <t>Mouliné de légumes au boeuf et vermicelles.html</t>
  </si>
  <si>
    <t>['15 g vermicelles de riz', '70 g carotte(s)', '60 g courgette(s)', '1  oignon(s) nouveau(x)', '15 g boeuf haché', '1 feuille(s) basilic', '1 pincée(s) gingembre moulu', '  citron vert', "  huile d'olive"]</t>
  </si>
  <si>
    <t>Mouliné de légumes au saumon.html</t>
  </si>
  <si>
    <t>['120 g carotte(s)', '120 g courgette(s)', '15 g saumon', '1 c. à café huile(s) végétale(s)', '  herbes aromatiques']</t>
  </si>
  <si>
    <t>Mouliné de légumes d’automne.html</t>
  </si>
  <si>
    <t>['50 g patate(s) douce(s)', '100 g céleri-rave', '50 g carotte(s)', '50 g champignons', '10 g oignon(s)', '1 c. à café crème', '1 pincée thym', "1 c. à café huile d'olive"]</t>
  </si>
  <si>
    <t>Mouliné de nouilles parfumées au chou chinois, poireaux et saumon.html</t>
  </si>
  <si>
    <t>['15 g vermicelles de riz', '60 g chou chinois', '60 g poireau(x)', '20 g saumon', '1 bout gingembre frais', '  coriandre']</t>
  </si>
  <si>
    <t>Mouliné de patate douce et poireau au boeuf.html</t>
  </si>
  <si>
    <t>['100 g patate(s) douce(s)', '100 g poireau(x)', '15 g boeuf', '1 c. à café huile(s) végétale(s)']</t>
  </si>
  <si>
    <t>Mouliné de potimarron et canard à la semoule.html</t>
  </si>
  <si>
    <t>['170 g potimarron', '25 g semoule de couscous', '15 g canard', '1 c. à café huile(s) végétale(s)']</t>
  </si>
  <si>
    <t>Mouliné de risotto de carotte et poulet à l’orange.html</t>
  </si>
  <si>
    <t>['20 g riz pour risotto', '100 g carotte(s)', '½  échalote(s)', '½  orange(s)', "1 c. à café huile d'olive", '15 g poulet']</t>
  </si>
  <si>
    <t>Mouliné de tajine d’agneau aux poires et pruneaux.html</t>
  </si>
  <si>
    <t>['50 g navet(s)', '40 g pomme(s) de terre', '40 g tomate(s)', '½  poire(s)', '½ gousse ail', '2 à 3  pruneau(x)', '15 g agneau', "1 c. à café huile d'olive", '1 pincée épices']</t>
  </si>
  <si>
    <t>Mouliné façon blanquette de veau.html</t>
  </si>
  <si>
    <t>['100 g carotte(s)', '80 g champignons de Paris', '15 g riz', '15 g veau', '½  oignon(s)', '1 c. à café crème', 'quelques feuilles persil']</t>
  </si>
  <si>
    <t>Mouliné façon pot-au-feu au boeuf.html</t>
  </si>
  <si>
    <t>['40 g pomme(s) de terre', '50 g carotte(s)', '50 g poireau(x)', '50 g navet(s)', '15 g boeuf haché', '½  oignon(s)', '1 c. à café huile d’olive', '1 c. à café huile(s) végétale(s)', '1 pincée thym']</t>
  </si>
  <si>
    <t>Mouliné façon potée de chou au porc.html</t>
  </si>
  <si>
    <t>['70 g chou vert', '50 g carotte(s)', '50 g pomme(s) de terre', '50 g navet(s)', '15 g porc', '1 c. à café huile(s) végétale(s)', '1 pincée herbes aromatiques']</t>
  </si>
  <si>
    <t>Mouliné façon risotto aux cèpes et poulet.html</t>
  </si>
  <si>
    <t>['15 g riz pour risotto', '125 g cèpes', '15 g poulet', '½  oignon(s) jaune(s)', "1 c. à café huile d'olive", '1 c. à café crème', '1 pincée coriandre', '5 g fromage râpé']</t>
  </si>
  <si>
    <t>Mouliné façon tajine de poulet aux carottes, pruneaux et petits pois.html</t>
  </si>
  <si>
    <t>['15 g poulet', '30 g pruneau(x)', '100 g carotte(s)', '80 g petits pois', '1 pincée épices', "1 c. à café huile d'olive"]</t>
  </si>
  <si>
    <t>Mousse de courge butternut.html</t>
  </si>
  <si>
    <t>['220 g butternut', '40 g jus de pois chiches', '1 c. à café huile(s) végétale(s)']</t>
  </si>
  <si>
    <t>Mousse de courgettes sur lit de lentilles corail.html</t>
  </si>
  <si>
    <t>['120 g courgette(s)', '20 g farine', '1 c. à soupe crème fraîche', '1  oeuf(s)', '20 g lentilles corail']</t>
  </si>
  <si>
    <t>Mousse de courgettes.html</t>
  </si>
  <si>
    <t>['120 g courgette(s)', '20 g farine', '1 c. à soupe crème fraîche', '⅓  oeuf(s)']</t>
  </si>
  <si>
    <t>Mousse de poivron sur lit de polenta.html</t>
  </si>
  <si>
    <t>['180 g poivron(s) rouge(s)', '⅓  oeuf(s)', '1 c. à soupe fécule de maïs', '1 feuilles basilic', '20 g polenta']</t>
  </si>
  <si>
    <t>Mousse légère à la courge.html</t>
  </si>
  <si>
    <t>['100 g courge', '100 mL crème liquide', '½  échalote(s)', '1 c. à café huile d’olive', '1 feuille(s) gélatine', '1 pincée paprika']</t>
  </si>
  <si>
    <t>Mousseline de champignons.html</t>
  </si>
  <si>
    <t>['150 g champignons', '80 g pomme(s) de terre', '1 c. à café huile(s) végétale(s)']</t>
  </si>
  <si>
    <t>Mousseline de panais au saumon.html</t>
  </si>
  <si>
    <t>['150 g panais', '60 g pomme(s) de terre', '1 c. à café huile(s) végétale(s)', '15 à 20 g saumon']</t>
  </si>
  <si>
    <t>Mousseline de ratatouille au filet de poulet et riz.html</t>
  </si>
  <si>
    <t>['20 g riz', '50 g tomate(s)', '50 g poivron(s) rouge(s)', '30 g courgette(s)', '30 g aubergine(s)', '½  oignon(s)', '15 g poulet', "1 c. à café huile d'olive"]</t>
  </si>
  <si>
    <t>Muffins à la carotte.html</t>
  </si>
  <si>
    <t>['150 g carotte(s)', '100 g farine', '1  oeuf(s)', '60 mL lait', '50 g fromage blanc', '1 c. à café poudre à lever', '½ c. à café curry']</t>
  </si>
  <si>
    <t>Muffins au fenouil et sarrasin sans oeuf.html</t>
  </si>
  <si>
    <t>['150 g fenouil', '35 g farine de sarrasin', '35 g farine de riz', '50 mL lait', '1 c. à café huile(s) végétale(s)', '1 c. à café poudre à lever', '  aneth']</t>
  </si>
  <si>
    <t>Muffins au fenouil.html</t>
  </si>
  <si>
    <t>['150 g fenouil', '110 g farine', '75 mL lait', '1  oeuf(s)', '10 g fromage frais', '1 c. à soupe huile(s) végétale(s)', '1 c. à café poudre à lever', '½ c. à café herbes aromatiques']</t>
  </si>
  <si>
    <t>Muffins aux brèdes ti’son.html</t>
  </si>
  <si>
    <t>['250 g brèdes', '50 g farine de maïs', '1  oeuf(s)', '1 c. à café poudre à lever', '1 c. à soupe huile d’olive']</t>
  </si>
  <si>
    <t>Muffins aux légumes racines.html</t>
  </si>
  <si>
    <t>['100 g céleri-rave', '100 g panais', '100 g topinambour(s)', '100 g rutabaga(s)', '50 g carotte(s)', '50 g pomme(s) de terre', '1 c. à soupe crème fraîche', '1  oeuf(s)', '100 g farine']</t>
  </si>
  <si>
    <t>Muffins aux poireaux.html</t>
  </si>
  <si>
    <t>['250 g poireau(x)', '1  oeuf(s)', '50 g farine', '1 c. à café poudre à lever']</t>
  </si>
  <si>
    <t>Muffins d’épinards chèvre et sarrasin.html</t>
  </si>
  <si>
    <t>['120 g épinards', '20 g farine de sarrasin', '20 g fromage de chèvre', '1  oeuf(s)', '1 c. à soupe crème']</t>
  </si>
  <si>
    <t>Muffins de betterave au fromage.html</t>
  </si>
  <si>
    <t>['130 g betterave(s)', '20 g fromage frais', '1 c. à soupe farine', '1 c. à soupe fécule de maïs']</t>
  </si>
  <si>
    <t>Muffins de brocoli sans oeuf.html</t>
  </si>
  <si>
    <t>['150 g brocoli', '100 g farine', '60 mL lait', '50 g fromage blanc', '20 mL huile(s) végétale(s)', '1 c. à café poudre à lever', '  épices au choix']</t>
  </si>
  <si>
    <t>Muffins de brocoli.html</t>
  </si>
  <si>
    <t>['200 g brocoli', '100 g farine', '60 mL lait', '50 g fromage blanc', '1  oeuf(s)', '1 c. à café poudre à lever', '1 pincée(s) origan', '  muscade moulue']</t>
  </si>
  <si>
    <t>Muffins de butternut carottes et gingembre.html</t>
  </si>
  <si>
    <t>['75 g carotte(s)', '60 g butternut', '60 mL lait', "50 g flocons d'avoine", '30 g farine', '1 c. à café huile(s) végétale(s)', '1 c. à café poudre à lever', '1 pincée gingembre moulu']</t>
  </si>
  <si>
    <t>Muffins de légumes.html</t>
  </si>
  <si>
    <t>['120 g poireau(x)', '120 g courgette(s)', '120 g carotte(s)', '1  oeuf(s)', '50 g farine']</t>
  </si>
  <si>
    <t>Muffins de navet et crème de pruneaux aux amandes.html</t>
  </si>
  <si>
    <t>['100 g navet(s)', '60 mL lait', '50 g farine de sarrasin', '20 g pruneau(x)', "10 g poudre d'amandes", '1 c. à café crème fraîche', '1 c. à café huile(s) végétale(s)', '½ c. à café poudre à lever']</t>
  </si>
  <si>
    <t>Muffins de potimarron à la dinde et crème de châtaignes.html</t>
  </si>
  <si>
    <t>['100 g potimarron', '60 mL lait', '50 g farine de maïs', '30 g châtaignes', '10 g dinde', '1 c. à café crème fraîche', '1 c. à café huile(s) végétale(s)', '1 c. à café poudre à lever']</t>
  </si>
  <si>
    <t>Muffins et bâtonnets de carottes.html</t>
  </si>
  <si>
    <t>['200 g carotte(s)', '50 g farine', '30 mL lait', '25 g fromage blanc', '½  oeuf(s)', '½ c. à café levure']</t>
  </si>
  <si>
    <t>Muffins façon tomates mozzarella et rondelles de courgettes.html</t>
  </si>
  <si>
    <t>['100 g courgette(s)', '70 g pulpe de tomates', '50 g farine', '½  oeuf', '15 g mozzarella', "1 c. à café huile d'olive", '½ c. à café poudre à lever', '  basilic']</t>
  </si>
  <si>
    <t>Muffins fondants au chou rouge.html</t>
  </si>
  <si>
    <t>['250 g chou-rouge', '75 g farine', '1 c. à soupe crème fraîche', '1 c. à café huile d’olive']</t>
  </si>
  <si>
    <t>Muffins poivron patate douce et lotte.html</t>
  </si>
  <si>
    <t>['160 g poivron(s) jaune(s)', '100 g farine', '60 g patate(s) douce(s)', '20 g lotte', '1  oeuf(s)', '2 c. à soupe crème fraîche', '1 c. à café poudre à lever']</t>
  </si>
  <si>
    <t>Muffins sans oeuf au potimarron et fromage frais.html</t>
  </si>
  <si>
    <t>['100 g potimarron', '60 mL lait', '60 g farine', '1 c. à café huile(s) végétale(s)', '1 c. à café poudre à lever', '10 g fromage frais']</t>
  </si>
  <si>
    <t>Muffins sans oeuf aux légumes d’automne.html</t>
  </si>
  <si>
    <t>['60 mL lait', '60 g farine', '50 g carotte(s)', '25 g pomme(s) de terre', '25 g champignons', '1 c. à café huile(s) végétale(s)', '1 c. à café poudre à lever']</t>
  </si>
  <si>
    <t>Navarin d’agneau aux petits légumes.html</t>
  </si>
  <si>
    <t>['50 g pomme(s) de terre', '50 g navet(s)', '50 g petits pois', '50 g carotte(s)', '50 g tomate(s)', '20 g agneau', '½ gousse ail', "1 c. à café huile d'olive", '1 c. à café huile(s) végétale(s)', '1 pincée herbes aromatiques']</t>
  </si>
  <si>
    <t>Navets et riz à la sauce tomate.html</t>
  </si>
  <si>
    <t>['130 g navet(s)', '50 g coulis de tomates', '20 g riz', '1 c. à café huile(s) végétale(s)', '1 pincée thym']</t>
  </si>
  <si>
    <t>Nems anti-gaspi 😉.html</t>
  </si>
  <si>
    <t>['  feuille(s) de riz', '  vermicelles de riz', '  restes de légumes et/ou de viande', '  herbes aromatiques', '  eau chaude', '  huile(s) végétale(s)']</t>
  </si>
  <si>
    <t>Nouilles à la sauce façon « piperade » à l’oeuf.html</t>
  </si>
  <si>
    <t>['20 g pâtes', '100 g poivron(s) rouge(s)', '75 g tomate(s)', '¼  oeuf(s)', "1 c. à café huile d'olive"]</t>
  </si>
  <si>
    <t>Nouilles parfumées au chou chinois, poireaux et crevettes.html</t>
  </si>
  <si>
    <t>['20 g vermicelles de riz', '70 g chou chinois', '70 g poireau(x)', '2  crevette(s)', '1 c. à café huile(s) végétale(s)', '1 bout gingembre frais', '  coriandre']</t>
  </si>
  <si>
    <t>Nuggets à la truite et frites de navet.html</t>
  </si>
  <si>
    <t>['90 g navet(s)', '60 g pomme(s) de terre', '10 g truite', '2 c. à café huile d’olive', '1 c. à soupe farine', '5 brin(s) ciboulette', '¼ c. à café paprika', '  chapelure']</t>
  </si>
  <si>
    <t>Nuggets de poisson et patate douce, purée de betterave.html</t>
  </si>
  <si>
    <t>['50 g patate(s) douce(s)', '20 g poisson', '10 g oignon(s) jaune(s)', '20 g chapelure', '100 g betterave(s)', "1 c. à café huile d'olive", '  herbes aromatiques']</t>
  </si>
  <si>
    <t>Nuggets de sardines et patate douce.html</t>
  </si>
  <si>
    <t>['100 g sardine', '100 g patate(s) douce(s)', '¼  oignon(s)', '  chapelure', '  coriandre', '  huile d’olive']</t>
  </si>
  <si>
    <t>One pot pasta légumes verts et filet de maquereau.html</t>
  </si>
  <si>
    <t>['70 g épinards', '70 g champignons', '25 g pâtes', '50 g petits pois', '100 mL eau', '1 c. à café crème', '20 g maquereau']</t>
  </si>
  <si>
    <t>Paëlla aux légumes et poisson.html</t>
  </si>
  <si>
    <t>['30 g riz', '20 g poisson', '50 g carotte(s)', '50 g poivron(s) rouge(s)', '50 g tomate(s)', '1 pincée curcuma', '1 pincée paprika', '1 c. à café huile(s) végétale(s)']</t>
  </si>
  <si>
    <t>Palets aux lentilles carottes et flocons d’avoine.html</t>
  </si>
  <si>
    <t>['100 g carotte(s)', '1  échalote(s)', '25 g lentilles corail', "50 g flocons d'avoine", '1 c. à café fécule de maïs', '1 c. à café huile d’olive', '1 pincée(s) cumin']</t>
  </si>
  <si>
    <t>Palets de haricots blancs au curcuma, dés de betterave.html</t>
  </si>
  <si>
    <t>['100 g betterave(s)', '100 g haricots blancs', '1 pincée curcuma', "1 c. à café huile d'olive"]</t>
  </si>
  <si>
    <t>Pancakes à la patate douce et au poivron rouge.html</t>
  </si>
  <si>
    <t>['50 g patate(s) douce(s)', '100 g poivron(s) rouge(s)', '60 g farine', '50 mL lait', '1 c. à soupe huile(s) végétale(s)', '  épices au choix']</t>
  </si>
  <si>
    <t>Pancakes à la ratatouille.html</t>
  </si>
  <si>
    <t>['60 g farine', '50 g lait', '50 g tomate(s)', '25 g courgette(s)', '25 g aubergine(s)', '¼  oignon(s)', '1 c. à café huile d’olive', '1 pincée(s) herbes de Provence']</t>
  </si>
  <si>
    <t>Pancakes au potimarron et champignons.html</t>
  </si>
  <si>
    <t>['300 g potimarron', '150 g champignons', '1  oeuf(s)', '100 g farine', '100 mL lait']</t>
  </si>
  <si>
    <t>Pancakes au potimarron et châtaignes.html</t>
  </si>
  <si>
    <t>['160 g potimarron', '80 g farine', '1  oeuf(s)', '6  châtaignes']</t>
  </si>
  <si>
    <t>Pancakes au rutabaga et cabillaud.html</t>
  </si>
  <si>
    <t>['150 g rutabaga(s)', '50 mL lait', "30 g farine d'épeautre", '10 g cabillaud', '1 c. à soupe fécule de maïs', '1 c. à café huile(s) végétale(s)', '  persil']</t>
  </si>
  <si>
    <t>Pancakes au rutabaga.html</t>
  </si>
  <si>
    <t>['150 g rutabaga(s)', '50 mL lait', "30 g farine d'épeautre", '1 c. à soupe fécule de maïs', '1 c. à café huile(s) végétale(s)', '  persil']</t>
  </si>
  <si>
    <t>Pancakes aux épinards et colin.html</t>
  </si>
  <si>
    <t>['100 g pomme(s) de terre', "50 g pousses d'épinards", '50 mL lait', '30 g farine', '10 g colin', '1 c. à café huile(s) végétale(s)']</t>
  </si>
  <si>
    <t>Pancakes aux flocons d’avoine et carottes.html</t>
  </si>
  <si>
    <t>['1  oeuf(s)', '300 g carotte(s)', "100 g flocons d'avoine", '100 mL lait']</t>
  </si>
  <si>
    <t>Pancakes aux légumes d’été.html</t>
  </si>
  <si>
    <t>['60 g courgette(s)', '60 g coulis de tomates', '60 g poivron(s) rouge(s)', "50 g farine d'avoine", '1 c. à soupe fécule de maïs', '1 c. à café huile(s) végétale(s)', '  basilic']</t>
  </si>
  <si>
    <t>Pancakes aux petits pois carottes et pruneaux.html</t>
  </si>
  <si>
    <t>['50 g carotte(s)', '50 g petits pois', '20 g pruneau(x)', '50 mL lait', '30 g farine', '2 c. à café fécule de maïs', '1 c. à café huile(s) végétale(s)']</t>
  </si>
  <si>
    <t>Pancakes carottes céleri et fromage frais.html</t>
  </si>
  <si>
    <t>['100 g carotte(s)', '50 g céleri-branche', '30 mL lait', '30 g farine de sarrasin', '15 g fromage frais', '1 c. à café huile(s) végétale(s)', '  persil']</t>
  </si>
  <si>
    <t>Pancakes chouchou maïs.html</t>
  </si>
  <si>
    <t>['400 g chayote(s)', '70 g farine de maïs', '1  oeuf(s)', '1 c. à soupe huile d’olive']</t>
  </si>
  <si>
    <t>Pancakes colorés aux légumes.html</t>
  </si>
  <si>
    <t>['1  yaourt nature', '1  oeuf(s)', '100 g farine', '1 c. à café poudre à lever', '1 c. à soupe huile(s) végétale(s)', '50 g purée de carottes', '50 g purée de betteraves', "50 g pousses d'épinards"]</t>
  </si>
  <si>
    <t>Pancakes de betterave au sarrasin (sans oeuf).html</t>
  </si>
  <si>
    <t>['150 g betterave(s)', '25 g farine de sarrasin', '25 g farine de riz', '1 c. à café huile(s) végétale(s)', '  persil']</t>
  </si>
  <si>
    <t>Pancakes de butternut et boeuf haché.html</t>
  </si>
  <si>
    <t>['100 g butternut', '80 g farine de pois chiches', '40 mL lait', '10 g boeuf haché', '1 c. à café huile(s) végétale(s)']</t>
  </si>
  <si>
    <t>Pancakes de carotte et jambon.html</t>
  </si>
  <si>
    <t>['100 g carotte(s)', '60 g farine', '40 mL lait', '10 g jambon blanc', '1 c. à café huile(s) végétale(s)', '1 pincée(s) cumin']</t>
  </si>
  <si>
    <t>Pancakes de carottes au sarrasin.html</t>
  </si>
  <si>
    <t>['150 g carotte(s)', '60 mL lait', '50 g farine de sarrasin', '1 c. à café huile(s) végétale(s)', '  persil']</t>
  </si>
  <si>
    <t>Pancakes de céleri rave au saumon.html</t>
  </si>
  <si>
    <t>['150 g céleri-rave', '40 mL lait', "40 g farine d'épeautre", '10 g saumon', '1 c. à café huile(s) végétale(s)', '1 pincée muscade moulue', '  persil']</t>
  </si>
  <si>
    <t>Pancakes de céleri rave.html</t>
  </si>
  <si>
    <t>['150 g céleri-rave', '40 mL lait', "40 g farine d'épeautre", '1 c. à café huile(s) végétale(s)', '1 pincée muscade moulue', '  persil']</t>
  </si>
  <si>
    <t>Pancakes de courgette à l’oeuf.html</t>
  </si>
  <si>
    <t>['150 g courgette(s)', '100 g farine', '100 mL lait', '1  oeuf(s)', '1 c. à soupe huile(s) végétale(s)', '  romarin']</t>
  </si>
  <si>
    <t>Pancakes de courgette au thon.html</t>
  </si>
  <si>
    <t>['90 g pomme(s) de terre', '100 g courgette(s)', '10 g thon', '2 c. à soupe farine', '1 c. à soupe fécule de maïs', '  huile d’olive', '  aneth']</t>
  </si>
  <si>
    <t>Pancakes de courgette brocoli et jambon.html</t>
  </si>
  <si>
    <t>['60 g farine', '50 g brocoli', '50 g courgette(s)', '50 mL lait', '10 g jambon blanc', '2 c. à café huile(s) végétale(s)', '¼ c. à café cumin']</t>
  </si>
  <si>
    <t>Pancakes de courgette et pommes de terre.html</t>
  </si>
  <si>
    <t>['50 g courgette(s)', '50 g pomme(s) de terre', '50 mL lait', '40 g farine', '1 c. à café huile(s) végétale(s)', '¼ c. à café cumin']</t>
  </si>
  <si>
    <t>Pancakes de courgette.html</t>
  </si>
  <si>
    <t>['100 g courgette(s)', '90 g pomme(s) de terre', '35 g farine', '1 c. à soupe fécule de maïs', '1 c. à café huile(s) végétale(s)', '  aneth']</t>
  </si>
  <si>
    <t>Pancakes de navet et fenouil.html</t>
  </si>
  <si>
    <t>['60 g fenouil', '60 g navet(s)', '60 g farine', '50 mL lait', '1 c. à café huile(s) végétale(s)']</t>
  </si>
  <si>
    <t>Pancakes de panais et carotte au jambon.html</t>
  </si>
  <si>
    <t>['50 g carotte(s)', '50 g panais', "40 g farine d'avoine", '40 mL lait', '10 g jambon blanc', '1 c. à café huile(s) végétale(s)']</t>
  </si>
  <si>
    <t>Pancakes de panais et carotte.html</t>
  </si>
  <si>
    <t>['50 g carotte(s)', '50 g panais', "40 g farine d'avoine", '40 mL lait', '1 c. à café huile(s) végétale(s)']</t>
  </si>
  <si>
    <t>Pancakes de patate douce et poivrons.html</t>
  </si>
  <si>
    <t>['100 g poivron(s) rouge(s)', "60 g farine d'épeautre", '50 g patate(s) douce(s)', '50 mL lait', '1 c. à café huile(s) végétale(s)']</t>
  </si>
  <si>
    <t>Pancakes de petits pois et fenouil.html</t>
  </si>
  <si>
    <t>['60 g farine', '50 g fenouil', '50 g petits pois', '50 mL lait', '1 c. à café huile(s) végétale(s)']</t>
  </si>
  <si>
    <t>Pancakes de pommes de terre et tomates.html</t>
  </si>
  <si>
    <t>['60 g pomme(s) de terre', '60 g pulpe de tomates', "35 g farine d'avoine", '1 c. à café huile(s) végétale(s)', '  basilic']</t>
  </si>
  <si>
    <t>Pancakes de potimarron à la dinde.html</t>
  </si>
  <si>
    <t>['150 g potimarron', '60 g farine', '50 mL lait', '10 g dinde', '1 c. à café huile(s) végétale(s)', '1 pincée paprika']</t>
  </si>
  <si>
    <t>Pancakes de potimarron au jambon.html</t>
  </si>
  <si>
    <t>['150 g potimarron', '60 g farine', '50 mL lait', '10 g jambon blanc', '1 c. à café huile(s) végétale(s)', '1 pincée(s) paprika']</t>
  </si>
  <si>
    <t>Pancakes de potimarron et crème de châtaignes.html</t>
  </si>
  <si>
    <t>['150 g potimarron', '60 g farine', '50 mL lait', '30 g châtaignes', '1 c. à café crème fraîche', '1 c. à café huile(s) végétale(s)', '1 pincée paprika']</t>
  </si>
  <si>
    <t>Pancakes de roquette et basilic.html</t>
  </si>
  <si>
    <t>['50 g pomme(s) de terre', '50 g roquette', '50 g courgette(s)', "30 g farine d'avoine", '10 g basilic', '1 c. à soupe fécule de maïs', '1 c. à café huile(s) végétale(s)']</t>
  </si>
  <si>
    <t>Pancakes de topinambour.html</t>
  </si>
  <si>
    <t>['70 g topinambour(s)', '50 g pomme(s) de terre', '50 mL lait', '20 g farine de riz', '1 c. à café fécule de maïs', '1 c. à café huile(s) végétale(s)']</t>
  </si>
  <si>
    <t>Pancakes effrayants pour Halloween.html</t>
  </si>
  <si>
    <t>["80 g flocons d'avoine", '1  oeuf(s)', '1  yaourt', '1 pincée(s) poudre à lever', '1 c. à soupe huile d’olive', '  purées de légumes']</t>
  </si>
  <si>
    <t>Pancakes épinards pomme de terre et saumon.html</t>
  </si>
  <si>
    <t>['100 g pomme(s) de terre', "50 g pousses d'épinards", '50 mL lait', '30 g farine', '10 g saumon', '1 c. à café huile(s) végétale(s)']</t>
  </si>
  <si>
    <t>Pancakes épinards pomme de terre.html</t>
  </si>
  <si>
    <t>['100 g pomme(s) de terre', "50 g pousses d'épinards", '50 mL lait', '30 g farine', '1 c. à café huile(s) végétale(s)']</t>
  </si>
  <si>
    <t>Pancakes façon bolognaise.html</t>
  </si>
  <si>
    <t>['75 g carotte(s)', '75 g coulis de tomates', '30 g farine', '10 g boeuf haché', '1 c. à café huile d’olive', '  basilic']</t>
  </si>
  <si>
    <t>Pancakes façon tajine au poulet.html</t>
  </si>
  <si>
    <t>['50 g carotte(s)', '50 g petits pois', '50 mL lait', '30 g farine', '20 g pruneau(x)', '2 c. à café fécule de maïs', '10 g poulet', '1 c. à café huile(s) végétale(s)']</t>
  </si>
  <si>
    <t>Pancakes pomme fenouil.html</t>
  </si>
  <si>
    <t>['50 g fenouil', '50 g compote de pommes', '50 mL lait', '40 g farine de pois chiches', '2 c. à café fécule de maïs', '1 c. à café huile(s) végétale(s)']</t>
  </si>
  <si>
    <t>Pancakes pommes de terre tomates et jambon.html</t>
  </si>
  <si>
    <t>['60 g farine', '50 g pomme(s) de terre', '50 g pulpe de tomates', '50 mL lait', '20 g jambon blanc', '1 c. à café huile(s) végétale(s)', '  basilic']</t>
  </si>
  <si>
    <t>Pancakes provençaux.html</t>
  </si>
  <si>
    <t>['60 g courgette(s)', '60 g aubergine(s)', '60 g poivron(s) rouge(s)', "50 g farine d'avoine", '1 c. à soupe fécule de maïs', '1 c. à café huile(s) végétale(s)', '1 pincée thym']</t>
  </si>
  <si>
    <t>Pancakes sucrés-salés aux poires et navets.html</t>
  </si>
  <si>
    <t>['60 g farine', '50 g pomme(s) de terre', '50 g tomate(s)', '50 g navet(s)', '½  poire(s)', '15 g lait', '1 c. à café huile d’olive', '1 pincée(s) cumin']</t>
  </si>
  <si>
    <t>Panna cotta salées crevettes mangue.html</t>
  </si>
  <si>
    <t>['200 mL lait de coco', '200 mL crème liquide', '150 g mangue', '60 g crevettes', '½  citron vert', '1 c. à soupe huile(s) végétale(s)', '2 feuille(s) gélatine', '  coriandre']</t>
  </si>
  <si>
    <t>Parmentier de butternut et boeuf.html</t>
  </si>
  <si>
    <t>['220 g butternut', '20 g boeuf', '20 g coulis de tomates', '1 pincée fromage râpé', '1 pincée herbes aromatiques', '1 c. à café huile(s) végétale(s)']</t>
  </si>
  <si>
    <t>Parmentier de courge butternut et boeuf.html</t>
  </si>
  <si>
    <t>['180 g butternut', '15 g boeuf haché', '¼  oignon(s)', "1 c. à café huile d'olive", '1 c. à café huile(s) végétale(s)']</t>
  </si>
  <si>
    <t>Parmentier de dinde et patate douce.html</t>
  </si>
  <si>
    <t>['20 g dinde', '180 g patate(s) douce(s)', '½  oignon(s)', '1 c. à café huile(s) végétale(s)', '  chapelure']</t>
  </si>
  <si>
    <t>Parmentier de panais au canard.html</t>
  </si>
  <si>
    <t>['160 g panais', '60 g pomme(s) de terre', '20 g canard', '1 c. à café huile(s) végétale(s)', '1 pincée persil', '  chapelure']</t>
  </si>
  <si>
    <t>Parmentier de poireau au poisson.html</t>
  </si>
  <si>
    <t>['100 g poireau(x)', '100 g pomme(s) de terre', '20 g poisson', '½  citron(s)', '1 c. à café huile(s) végétale(s)', '  chapelure']</t>
  </si>
  <si>
    <t>Parmentier de truite à la courge butternut.html</t>
  </si>
  <si>
    <t>['130 g butternut', '100 g carotte(s)', '20 g truite', '1 c. à café crème']</t>
  </si>
  <si>
    <t>Patate douce et crème d’endives.html</t>
  </si>
  <si>
    <t>['120 g patate(s) douce(s)', '200 g endive(s)', '1 c. à soupe crème fraîche']</t>
  </si>
  <si>
    <t>Patate douce et poireau au boeuf.html</t>
  </si>
  <si>
    <t>['100 g patate(s) douce(s)', '100 g poireau(x)', '20 g boeuf', '1 c. à café huile(s) végétale(s)']</t>
  </si>
  <si>
    <t>Patate douce et poulet aux pruneaux.html</t>
  </si>
  <si>
    <t>['175 g patate(s) douce(s)', '20 g poulet', '40 g pruneau(x)', '1 c. à café huile(s) végétale(s)']</t>
  </si>
  <si>
    <t>Patate douce fondante, cabillaud façon ceviche.html</t>
  </si>
  <si>
    <t>['180 g patate(s) douce(s)', '20 g cabillaud', '2 pincée coriandre', '½  citron vert', '¼  oignon(s)', "1 c. à café huile d'olive"]</t>
  </si>
  <si>
    <t>Patate douce rôtie au thym et crème d’épinards à la dinde.html</t>
  </si>
  <si>
    <t>['150 g patate(s) douce(s)', '50 g épinards', '10 g dinde', '1 c. à café crème fraîche', '1 c. à café huile(s) végétale(s)', '2 pincée(s) thym']</t>
  </si>
  <si>
    <t>Patate douce rôtie au thym.html</t>
  </si>
  <si>
    <t>['200 g patate(s) douce(s)', '1 c. à café huile(s) végétale(s)', '2 pincée(s) thym']</t>
  </si>
  <si>
    <t>Patate douce rôtie et crème d’endives au poulet.html</t>
  </si>
  <si>
    <t>['150 g patate(s) douce(s)', '50 g endive(s)', '10 g poulet', '1 c. à café crème fraîche', '1 c. à café huile(s) végétale(s)', '2 pincée(s) thym']</t>
  </si>
  <si>
    <t>Patate douce rôtie et crème de fenouil.html</t>
  </si>
  <si>
    <t>['150 g patate(s) douce(s)', '50 g fenouil', '1 c. à café huile(s) végétale(s)', '1 c. à café crème fraîche', '2 pincée(s) thym']</t>
  </si>
  <si>
    <t>Patate douce, porc aux pruneaux.html</t>
  </si>
  <si>
    <t>['150 g patate(s) douce(s)', '60 g pruneau(x)', '20 g porc', '1 c. à café huile(s) végétale(s)']</t>
  </si>
  <si>
    <t>Patates douces à la crème de haricots verts et ciboulette.html</t>
  </si>
  <si>
    <t>['120 g patate(s) douce(s)', '100 g haricots verts', '1 c. à café huile(s) végétale(s)', '½  citron(s)', '  ciboulette']</t>
  </si>
  <si>
    <t>Patates douces écrasées à la crème de haricots verts et ciboulette.html</t>
  </si>
  <si>
    <t>['100 g patate(s) douce(s)', '100 g haricots verts', '  ciboulette', '½  citron(s)', '1 c. à café huile(s) végétale(s)']</t>
  </si>
  <si>
    <t>Patates douces écrasées à la crème de haricots verts et merlan.html</t>
  </si>
  <si>
    <t>['100 g patate(s) douce(s)', '100 g haricots verts', '  ciboulette', '½  citron(s)', '1 c. à café huile(s) végétale(s)', '15 g merlan']</t>
  </si>
  <si>
    <t>Pâté végétal aux lentilles corail et champignons.html</t>
  </si>
  <si>
    <t>['150 g lentilles corail', '100 g champignons de Paris', '1  échalote(s)', '½ gousse ail', '1 c. à café huile d’olive', '½ c. à café paprika', '1 pincée poivre', '1 pincée thym']</t>
  </si>
  <si>
    <t>Pâtes à la sauce tomates.html</t>
  </si>
  <si>
    <t>['25 g pâtes', '100 g coulis de tomates', '50 g carotte(s)', '½  oignon(s)', "1 c. à café huile d'olive", '1 pincée herbes aromatiques', '1 pincée fromage râpé']</t>
  </si>
  <si>
    <t>Pâtes au curry de carottes et lentilles corail.html</t>
  </si>
  <si>
    <t>['20 g pâtes', '150 g carotte(s)', '25 mL lait de coco', '1 pincée(s) curry', '20 g lentilles corail']</t>
  </si>
  <si>
    <t>Pâtes au curry de carottes.html</t>
  </si>
  <si>
    <t>['20 g pâtes', '150 g carotte(s)', '25 g lait de coco', '1 pincée(s) curry', '15 g jambon blanc']</t>
  </si>
  <si>
    <t>Pâtes au pesto de courgettes et cabillaud.html</t>
  </si>
  <si>
    <t>['120 g courgette(s)', '50 g tomates cerises', '20 g pâtes', '15 g cabillaud', '5 g pignons de pin', "1 c. à café huile d'olive", '  basilic']</t>
  </si>
  <si>
    <t>Pâtes au pesto de courgettes et roquette, et poulet.html</t>
  </si>
  <si>
    <t>['25 g pâtes', '75 g courgette(s)', '20 g roquette', '10 g basilic', '10 g amandes', '10 g parmesan', "1 c. à soupe huile d'olive", '15 g poulet']</t>
  </si>
  <si>
    <t>Pâtes au pesto de courgettes et tomates cerises.html</t>
  </si>
  <si>
    <t>['120 g courgette(s)', '60 g tomates cerises', '20 g pâtes', '5 g pignons de pin', "1 c. à café huile d'olive", '  basilic']</t>
  </si>
  <si>
    <t>Pâtes au pesto de mâche et poulet.html</t>
  </si>
  <si>
    <t>['30 g pâtes', '100 g mâche', '50 g panais', '20 g poulet', '½ gousse ail', '1 c. à soupe noisettes en poudre', "1 c. à soupe huile d'olive", '5 à 10 g parmesan']</t>
  </si>
  <si>
    <t>Pâtes au potimarron.html</t>
  </si>
  <si>
    <t>['150 g potimarron', '25 g pâtes', '1 c. à café huile(s) végétale(s)', '1 pincée(s) herbes aromatiques']</t>
  </si>
  <si>
    <t>Pâtes au saumon et épinards, sauce béchamel.html</t>
  </si>
  <si>
    <t>['20 g pâtes', '100 g épinards', '15 g saumon', "1 c. à soupe huile d'olive", '1 c. à soupe farine', '150 mL lait', '1 pincée muscade moulue', '  chapelure']</t>
  </si>
  <si>
    <t>Pâtes aux blettes et pignons de pin.html</t>
  </si>
  <si>
    <t>['20 g pâtes', '130 g blettes', '10 g pignons de pin', '10 g parmesan', 'quelques feuilles persil', '½ gousse ail', '½  citron(s)', "1 c. à café huile d'olive"]</t>
  </si>
  <si>
    <t>Pâtes aux carottes et poireaux.html</t>
  </si>
  <si>
    <t>['20 g pâtes', '120 g carotte(s)', '80 g poireau(x)', '1 c. à café huile(s) végétale(s)']</t>
  </si>
  <si>
    <t>Pâtes aux courgettes et au cabillaud.html</t>
  </si>
  <si>
    <t>['180 g courgette(s)', '1 c. à café crème', '20 g pâtes', '5 g fromage râpé', '20 g cabillaud']</t>
  </si>
  <si>
    <t>Pâtes aux courgettes, tomates et saumon.html</t>
  </si>
  <si>
    <t>['25 g pâtes', '75 g courgette(s)', '75 g tomates cerises', '20 g saumon', '1 c. à café crème fraîche', '75 mL eau']</t>
  </si>
  <si>
    <t>Pâtes aux épinards et poisson.html</t>
  </si>
  <si>
    <t>['15 g pâtes', '130 g épinards', '15 g poisson', '1 c. à café huile(s) végétale(s)']</t>
  </si>
  <si>
    <t>Pâtes aux fleurettes de brocoli et champignons.html</t>
  </si>
  <si>
    <t>['100 g brocoli', '25 g pâtes', '80 g champignons', '¼  oignon(s)', "1 c. à café huile d'olive", '1 c. à café huile(s) végétale(s)']</t>
  </si>
  <si>
    <t>Pâtes aux légumes d’été.html</t>
  </si>
  <si>
    <t>['25 g pâtes', '30 g aubergine(s)', '30 g courgette(s)', '30 g poivron(s) rouge(s)', '30 g coulis de tomates', '½ gousse ail', '1 c. à café huile(s) végétale(s)']</t>
  </si>
  <si>
    <t>Pâtes aux poireaux et champignons.html</t>
  </si>
  <si>
    <t>['20 g pâtes', '100 g poireau(x)', '100 g champignons', '1 c. à café huile(s) végétale(s)']</t>
  </si>
  <si>
    <t>Pâtes bolognaise.html</t>
  </si>
  <si>
    <t>['25 g pâtes', '100 g coulis de tomates', '50 g carotte(s)', '½  oignon(s)', '20 g boeuf haché', "1 c. à café huile d'olive", '1 pincée herbes aromatiques']</t>
  </si>
  <si>
    <t>Pâtes épinards ricotta, oeuf brouillé.html</t>
  </si>
  <si>
    <t>['25 g pâtes', '130 g épinards', '20 g ricotta', '1 c. à café huile(s) végétale(s)', '1  oeuf(s)']</t>
  </si>
  <si>
    <t>Pâtes et cabillaud à la crème de brocoli à l’aneth.html</t>
  </si>
  <si>
    <t>['150 g brocoli', '25 g pâtes', "1 c. à soupe huile d'olive", '2 pincée aneth', '20 g cabillaud']</t>
  </si>
  <si>
    <t>Pâtes et sa sauce de légumes d’été.html</t>
  </si>
  <si>
    <t>['20 g pâtes', '30 g aubergine(s)', '30 g courgette(s)', '30 g poivron(s) rouge(s)', '30 g coulis de tomates', '½ gousse ail', '1 c. à café huile(s) végétale(s)']</t>
  </si>
  <si>
    <t>Pâtes étoiles au potimarron.html</t>
  </si>
  <si>
    <t>['130 g potimarron', '20 g pâtes', '1 c. à café  huile(s) végétale(s)', '1 pincée(s) herbes aromatiques']</t>
  </si>
  <si>
    <t>Pâtes sauce épinards ricotta.html</t>
  </si>
  <si>
    <t>['25 g pâtes', '130 g épinards', '20 g ricotta', '1 c. à café huile(s) végétale(s)']</t>
  </si>
  <si>
    <t>Pesto de courgettes, petites pâtes et tomates cerises.html</t>
  </si>
  <si>
    <t>['120 g courgette(s)', '50 g tomates cerises', '20 g pâtes', '5 g pignons de pin', "1 c. à café huile d'olive", '  basilic']</t>
  </si>
  <si>
    <t>Pesto de mâche et poulet et ses petites pâtes.html</t>
  </si>
  <si>
    <t>['25 g pâtes', '60 g mâche', '50 g panais', '15 g poulet', '½ gousse ail', '1 c. à soupe noisettes en poudre', "1 c. à soupe huile d'olive", '5 à 10 g parmesan']</t>
  </si>
  <si>
    <t>Petit porridge aux légumes et poisson pané à l’avoine.html</t>
  </si>
  <si>
    <t>["30 g flocons d'avoine", '100 g carotte(s)', '50 g céleri-branche', '20 g poisson', '10 g oignon(s)', '1 pincée coriandre', "1 c. à soupe huile d'olive"]</t>
  </si>
  <si>
    <t>Petit pot-au-feu au boeuf.html</t>
  </si>
  <si>
    <t>['60 g pomme(s) de terre', '60 g carotte(s)', '50 g poireau(x)', '50 g navet(s)', '½ g oignon(s)', '20 g boeuf', '1 c. à café huile(s) végétale(s)', '1 c. à café huile d’olive', '1 pincée thym']</t>
  </si>
  <si>
    <t>Petites pâtes à la sauce tomates-carottes-basilic.html</t>
  </si>
  <si>
    <t>['20 g pâtes', '100 g tomate(s)', '75 g carotte(s)', '¼  oignon(s)', "1 c. à café huile d'olive", '  basilic']</t>
  </si>
  <si>
    <t>Petites pâtes à la sauce tomates.html</t>
  </si>
  <si>
    <t>['20 g pâtes', '120 g tomates cerises', '60 g courgette(s)', '1 c. à café huile(s) végétale(s)', '  basilic']</t>
  </si>
  <si>
    <t>Petites pâtes au pesto de blettes.html</t>
  </si>
  <si>
    <t>['15 g pâtes', '120 g blettes', '10 g pignons de pin', '  persil', '1 c. à café huile(s) végétale(s)', '½  citron(s)', '10 g parmesan', '½ gousse ail']</t>
  </si>
  <si>
    <t>Petites pâtes aux courgettes et au cabillaud.html</t>
  </si>
  <si>
    <t>['150 g courgette(s)', '20 g pâtes', '15 g cabillaud', "1 c. à café huile d'olive"]</t>
  </si>
  <si>
    <t>Petites pâtes aux épinards, petits pois et maquereau.html</t>
  </si>
  <si>
    <t>['20 g pâtes', '100 g épinards', '40 g petits pois', '1 c. à café huile(s) végétale(s)', '15 g maquereau']</t>
  </si>
  <si>
    <t>Petites pâtes aux légumes verts.html</t>
  </si>
  <si>
    <t>['20 g pâtes', '100 g épinards', '40 g petits pois', '1 c. à café crème']</t>
  </si>
  <si>
    <t>Petites pâtes crémeuses au chou-fleur et lieu jaune.html</t>
  </si>
  <si>
    <t>['130 g chou-fleur', '20 g petites pâtes', '15 g lieu jaune', '1 c. à café crème']</t>
  </si>
  <si>
    <t>Petites pâtes et purée de légumes provençaux au thon.html</t>
  </si>
  <si>
    <t>['20 g pâtes', '30 g aubergine(s)', '30 g courgette(s)', '30 g poivron(s) rouge(s)', '30 g coulis de tomates', '15 g thon', '½ gousse ail', '1 c. à café huile(s) végétale(s)']</t>
  </si>
  <si>
    <t>Petits blinis et purée de courgettes au boeuf.html</t>
  </si>
  <si>
    <t>['30 g farine', "1 c. à soupe huile d'olive", '50 mL lait', '200 g courgette(s)', '15 g boeuf haché', '  herbes aromatiques']</t>
  </si>
  <si>
    <t>Petits flans carottes poivron rouge.html</t>
  </si>
  <si>
    <t>['150 g carotte(s)', '50 g poivron(s) rouge(s)', '1  oeuf(s)', '40 g fromage blanc', '40 g farine', '  coriandre']</t>
  </si>
  <si>
    <t>Poêlée de brocolis et champignons au sésame, riz.html</t>
  </si>
  <si>
    <t>['25 g riz', '150 g brocoli', '75 g champignons', '1 c. à soupe huile de sésame']</t>
  </si>
  <si>
    <t>Poêlée de chou rouge aux pommes, boeuf à la coriandre et quinoa.html</t>
  </si>
  <si>
    <t>['175 g chou-rouge', '½  pomme(s)', '20 g boeuf haché', '  coriandre', '15 g quinoa', "1 c. à soupe huile d'olive"]</t>
  </si>
  <si>
    <t>Poêlée de choux de Bruxelles aux châtaignes.html</t>
  </si>
  <si>
    <t>['150 g choux de Bruxelles', '40 g châtaignes', '⅓  oignon(s)', '1 c. à café miel', "1 c. à soupe huile d'olive"]</t>
  </si>
  <si>
    <t>Poêlée de pommes de terre sautées et chou frisé.html</t>
  </si>
  <si>
    <t>['250 g pomme(s) de terre', '200 g chou vert', '20 g jambon blanc', '¼  oignon', '1 c. à café huile(s) végétale(s)']</t>
  </si>
  <si>
    <t>Poêlée de rutabagas au jambon.html</t>
  </si>
  <si>
    <t>['150 g rutabaga(s)', '¼  oignon', '10 g jambon blanc', '1 c. à café huile(s) végétale(s)', '  persil']</t>
  </si>
  <si>
    <t>Poisson à l’aneth et sa purée de légumes au quinoa.html</t>
  </si>
  <si>
    <t>['15 g poisson', '1 pincée aneth', '50 g carotte(s)', '50 g navet(s)', '50 g courgette(s)', '15 g quinoa', '1 c. à café huile(s) végétale(s)']</t>
  </si>
  <si>
    <t>Poisson à l’aneth, brunoise de légumes et quinoa.html</t>
  </si>
  <si>
    <t>['20 g poisson', '50 g carotte(s)', '50 g navet(s)', '50 g courgette(s)', '15 g quinoa', '1 c. à café huile(s) végétale(s)', '1 pincée aneth']</t>
  </si>
  <si>
    <t>Poisson panais 😉.html</t>
  </si>
  <si>
    <t>['200 g panais', '10 à 20 g poisson', '1 c. à café huile(s) végétale(s)']</t>
  </si>
  <si>
    <t>Poisson pané à l’avoine, porridge à la carotte et céleri.html</t>
  </si>
  <si>
    <t>["35 g flocons d'avoine", '120 g carotte(s)', '50 g céleri-branche', '25 g poisson', '10 g oignon(s)', '1 pincée coriandre', "1 c. à soupe huile d'olive"]</t>
  </si>
  <si>
    <t>Poivron farci au quinoa et petits légumes.html</t>
  </si>
  <si>
    <t>['1  poivron(s) rouge(s)', '15 g quinoa', '30 g carotte(s)', '30 g tomate(s)', '  herbes aromatiques', "1 c. à café huile d'olive"]</t>
  </si>
  <si>
    <t>Poivrons fondants et quinoa.html</t>
  </si>
  <si>
    <t>['15 g quinoa', '220 g poivron(s) rouge(s)', '1 c. à café huile(s) végétale(s)']</t>
  </si>
  <si>
    <t>Polenta au chou frisé.html</t>
  </si>
  <si>
    <t>['150 g chou vert', '¼  oignon', '25 g polenta', '10 g fromage râpé', '1 c. à café huile d’olive']</t>
  </si>
  <si>
    <t>Polenta au duo de purées de carottes et brocolis.html</t>
  </si>
  <si>
    <t>['15 g polenta', '90 g carotte(s)', '90 g brocoli', '1 c. à café crème fraîche', '1 feuilles basilic', '1 pincée cumin']</t>
  </si>
  <si>
    <t>Polenta aux asperges et saumon.html</t>
  </si>
  <si>
    <t>['25 g polenta', '130 g asperge(s) verte(s)', '20 g saumon', '1 c. à café huile(s) végétale(s)', '½  citron(s)']</t>
  </si>
  <si>
    <t>Polenta aux aubergines rôties et poulet.html</t>
  </si>
  <si>
    <t>['180 g aubergine(s)', '20 g polenta', '20 g poulet', "1 c. à café huile d'olive"]</t>
  </si>
  <si>
    <t>Polenta aux brocolis et colin.html</t>
  </si>
  <si>
    <t>['150 g brocoli', '25 g polenta', '20 g colin', '½  citron(s)', '1 c. à café huile(s) végétale(s)']</t>
  </si>
  <si>
    <t>Polenta aux carottes et brocolis.html</t>
  </si>
  <si>
    <t>['20 g polenta', '100 g carotte(s)', '100 g brocoli', '1 c. à café crème fraîche', '1 pincée herbes aromatiques']</t>
  </si>
  <si>
    <t>Polenta aux carottes et cumin.html</t>
  </si>
  <si>
    <t>['15 g polenta', '180 g carotte(s)', '1 c. à café huile(s) végétale(s)', '1 pincée cumin']</t>
  </si>
  <si>
    <t>Polenta aux courgettes et ciboulette.html</t>
  </si>
  <si>
    <t>['15 g polenta', '150 g courgette(s)', '1 c. à café huile(s) végétale(s)', '  ciboulette']</t>
  </si>
  <si>
    <t>Polenta aux courgettes, ciboulette et oeuf dur.html</t>
  </si>
  <si>
    <t>['15 g polenta', '150 g courgette(s)', '⅓  oeuf(s)', '1 c. à café huile(s) végétale(s)', '  ciboulette']</t>
  </si>
  <si>
    <t>Polenta aux poivrons rouges.html</t>
  </si>
  <si>
    <t>['20 g polenta', '200 g poivron(s) rouge(s)', '1 c. à café huile(s) végétale(s)']</t>
  </si>
  <si>
    <t>Polenta aux pommes, épinards, et saumon.html</t>
  </si>
  <si>
    <t>['15 g polenta', '75 g pomme(s)', "75 g pousses d'épinards", '15 g saumon', '1 c. à café huile(s) végétale(s)']</t>
  </si>
  <si>
    <t>Polenta crémeuse au butternut.html</t>
  </si>
  <si>
    <t>['130 g butternut', '25 g polenta', '1 c. à café crème fraîche']</t>
  </si>
  <si>
    <t>Polenta crémeuse au chèvre et choux de Bruxelles rôtis.html</t>
  </si>
  <si>
    <t>['160 g choux de Bruxelles', '25 g polenta', '10 g fromage de chèvre', "1 c. à café huile d'olive"]</t>
  </si>
  <si>
    <t>Polenta crémeuse au chèvre et crème de chou de Bruxelles rôtis.html</t>
  </si>
  <si>
    <t>['160 g choux de Bruxelles', '20 g polenta', '10 g fromage de chèvre', "1 c. à café huile d'olive"]</t>
  </si>
  <si>
    <t>Polenta crémeuse aux brocolis et colin.html</t>
  </si>
  <si>
    <t>['150 g brocoli', '20 g polenta', '1 c. à café crème fraîche', '15 g colin', '  citron(s)']</t>
  </si>
  <si>
    <t>Polenta crémeuse aux épinards et parmesan.html</t>
  </si>
  <si>
    <t>['25 g polenta', '120 g épinards', '1 c. à soupe crème fraîche', '  parmesan']</t>
  </si>
  <si>
    <t>Polenta crémeuse aux haricot vert et son filet mignon.html</t>
  </si>
  <si>
    <t>['120 g haricots verts', '15 g polenta', '15 g filet mignon', '1 c. à café crème fraîche']</t>
  </si>
  <si>
    <t>Polenta crémeuse aux navets et saumon.html</t>
  </si>
  <si>
    <t>['130 g navet(s)', '20 g polenta', '20 g saumon', '1 c. à café crème fraîche', '1 c. à café miel']</t>
  </si>
  <si>
    <t>Polenta crémeuse et fondue de poireaux au saumon.html</t>
  </si>
  <si>
    <t>['20 g polenta', '100 g poireau(x)', '15 g saumon', '1 c. à soupe crème']</t>
  </si>
  <si>
    <t>Polenta et cabillaud à la tomate, salade de chou-rave et carottes.html</t>
  </si>
  <si>
    <t>['15 g polenta', '50 g tomate(s)', '20 g cabillaud', '50 g chou-rave', '50 g carotte(s)', '1 c. à café huile de sésame', '  citron(s)']</t>
  </si>
  <si>
    <t>Polenta et fondue de poireaux au saumon.html</t>
  </si>
  <si>
    <t>['25 g polenta', '100 g poireau(x)', '1 c. à café crème fraîche', '20 g saumon']</t>
  </si>
  <si>
    <t>Polenta et sa sauce tomate aux légumes.html</t>
  </si>
  <si>
    <t>['20 g polenta', '20 g concentré de tomates', '75 g carotte(s)', '75 g navet(s)', '20 g oignon(s)', '1 g huile(s) végétale(s)']</t>
  </si>
  <si>
    <t>Polenta, poêlée de pommes et pousses d’épinards au saumon.html</t>
  </si>
  <si>
    <t>['20 g polenta', '100 g pomme(s)', "60 g pousses d'épinards", '20 g saumon', "1 c. à café huile d'olive", '½  citron(s)']</t>
  </si>
  <si>
    <t>Pommes de terre, carottes à la coriandre.html</t>
  </si>
  <si>
    <t>['75 g pomme(s) de terre', '180 g carotte(s)', 'quelques feuilles coriandre', '1 c. à café huile(s) végétale(s)']</t>
  </si>
  <si>
    <t>Pommes duchesses aux amandes.html</t>
  </si>
  <si>
    <t>['400 g pomme(s) de terre', "40 g poudre d'amandes", '30 g beurre', '20 g amandes effilées', '1 jaune(s) oeuf(s)', '1 pincée muscade moulue']</t>
  </si>
  <si>
    <t>Porridge de poireau à la truite.html</t>
  </si>
  <si>
    <t>['100 g poireau(x)', '20 g truite', "20 g flocons d'avoine", '1 c. à café huile(s) végétale(s)', '75 mL lait']</t>
  </si>
  <si>
    <t>Potage aux légumes.html</t>
  </si>
  <si>
    <t>['40 g chou chinois', '40 g poireau(x)', '30 g carotte(s)', '30 g champignons', '20 g petits pois', '1 pincée coriandre', '1 c. à café huile(s) végétale(s)']</t>
  </si>
  <si>
    <t>Potage carotte, gingembre, orange.html</t>
  </si>
  <si>
    <t>['130 g carotte(s)', '50 g pomme(s) de terre', '½  orange(s)', '1 pincée gingembre moulu', '1 c. à café huile(s) végétale(s)']</t>
  </si>
  <si>
    <t>Potage d’automne.html</t>
  </si>
  <si>
    <t>['50 g carotte(s)', '50 g butternut', '50 g poireau(x)', '50 g navet(s)', '50 g pomme(s) de terre', '1 c. à café crème']</t>
  </si>
  <si>
    <t>Potage de navet, poire et carotte.html</t>
  </si>
  <si>
    <t>['100 g carotte(s)', '80 g navet(s)', '½  poire(s)', '1 c. à café huile(s) végétale(s)', '1 pincée épices', '1 c. à café miel']</t>
  </si>
  <si>
    <t>Potage Dubarry (au chou-fleur).html</t>
  </si>
  <si>
    <t>['180 g chou-fleur', '40 g pomme(s) de terre', '½  échalote(s)', "1 c. à café huile d'olive", '1 c. à café farine', '50 mL lait', '1 pincée muscade moulue']</t>
  </si>
  <si>
    <t>Potage paysan façon garbure.html</t>
  </si>
  <si>
    <t>['20 g porc', '100 g chou vert', '25 g carotte(s)', '25 g navet(s)', '25 g poireau(x)', '40 g haricots blancs', '¼  oignon(s)', '1 c. à café huile(s) végétale(s)', '  herbes aromatiques', '1 pincée bicarbonate de soude alimentaire']</t>
  </si>
  <si>
    <t>Potée de chou au porc.html</t>
  </si>
  <si>
    <t>['75 g chou vert', '50 g carotte(s)', '50 g pomme(s) de terre', '40 g navet(s)', '10 g oignon(s)', '20 g porc', '1 c. à café huile(s) végétale(s)', '  herbes aromatiques']</t>
  </si>
  <si>
    <t>Potée de chou chinois et carottes.html</t>
  </si>
  <si>
    <t>['150 g carotte(s)', '100 g chou chinois', '1 c. à café huile(s) végétale(s)']</t>
  </si>
  <si>
    <t>Potimarron, crème d’endive au saumon.html</t>
  </si>
  <si>
    <t>['130 g potimarron', '130 g endive(s)', '15 g saumon', '½  citron(s)', "1 c. à soupe huile d'olive", '1 c. à café huile(s) végétale(s)']</t>
  </si>
  <si>
    <t>Potimarron, endives braisées au saumon.html</t>
  </si>
  <si>
    <t>['150 g potimarron', '150 g endive(s)', '20 g saumon', '½  citron(s)', "1 c. à café huile d'olive", '1 c. à café huile(s) végétale(s)']</t>
  </si>
  <si>
    <t>Potiron et maïs au poulet.html</t>
  </si>
  <si>
    <t>['180 g potiron', '80 g maïs', '20 g poulet', '1 c. à café huile(s) végétale(s)']</t>
  </si>
  <si>
    <t>Poulet à la crème de champignons et semoule.html</t>
  </si>
  <si>
    <t>['25 g semoule de couscous', '130 g champignons', '15 g poulet', '½  oignon(s)', '½  ail', '1 c. à café huile(s) végétale(s)']</t>
  </si>
  <si>
    <t>Poulet aux champignons et semoule.html</t>
  </si>
  <si>
    <t>['25 g semoule de couscous', '150 g champignons', '20 g poulet', '½  oignon(s)', '1 pincée persil', "1 c. à café huile d'olive"]</t>
  </si>
  <si>
    <t>Poulet butternut au curry doux, riz.html</t>
  </si>
  <si>
    <t>['20 g riz', '130 g butternut', '2 c. à soupe lait de coco', '20 g poulet', '2 pincée curry', '1 pincée coriandre', '1 c. à café concentré de tomates']</t>
  </si>
  <si>
    <t>Purée aux carottes, patates douces et pruneaux (inspiration tajine).html</t>
  </si>
  <si>
    <t>['60 g patate(s) douce(s)', '120 g carotte(s)', '50 g pruneau(x)', "1 c. à café huile d'olive", '½  citron(s)', '1 pincée épices']</t>
  </si>
  <si>
    <t>Purée crémeuse de chou vert, cabillaud et riz.html</t>
  </si>
  <si>
    <t>['150 g chou vert', '15 g cabillaud', '20 g riz', '1 c. à soupe crème', '½  citron(s)', "1 c. à café huile d'olive"]</t>
  </si>
  <si>
    <t>Purée crémeuse de choux de Bruxelles aux noisettes.html</t>
  </si>
  <si>
    <t>['180 g choux de Bruxelles', '75 g pomme(s) de terre', '20 g noisettes en poudre', '1 c. à café huile(s) végétale(s)']</t>
  </si>
  <si>
    <t>Purée d’asperges blanches et pommes de terre.html</t>
  </si>
  <si>
    <t>['130 g asperge(s) blanche(s)', '100 g pomme(s) de terre', '1 c. à café huile(s) végétale(s)']</t>
  </si>
  <si>
    <t>Purée d’asperges blanches, pommes de terre et truite.html</t>
  </si>
  <si>
    <t>['130 g asperge(s) blanche(s)', '100 g pomme(s) de terre', '15 g truite', '1 c. à café huile(s) végétale(s)']</t>
  </si>
  <si>
    <t>Purée d’asperges vertes et poisson.html</t>
  </si>
  <si>
    <t>['130 g asperge(s) verte(s)', '60 g pomme(s) de terre', '20 g poisson', '1 c. à café huile(s) végétale(s)', '30 mL eau']</t>
  </si>
  <si>
    <t>Purée d’aubergines au curry et poulet, riz.html</t>
  </si>
  <si>
    <t>['150 g aubergine(s)', '15 g poulet', '1 c. à café huile(s) végétale(s)', '1 pincée curry', '20 g riz']</t>
  </si>
  <si>
    <t>Purée d’aubergines et tomates au curry et semoule.html</t>
  </si>
  <si>
    <t>['25 g semoule de couscous', '100 g aubergine(s)', '60 g tomate(s)', '20 mL lait de coco', '1 pincée(s) curry']</t>
  </si>
  <si>
    <t>Purée d’avoine et poireau à la truite.html</t>
  </si>
  <si>
    <t>['100 g poireau(x)', "20 g flocons d'avoine", '15 g truite', '1 c. à café huile(s) végétale(s)', '75 mL lait']</t>
  </si>
  <si>
    <t>Purée d’épinards.html</t>
  </si>
  <si>
    <t>['80 g pomme(s) de terre', '125 g épinards', '1 c. à café huile(s) végétale(s)']</t>
  </si>
  <si>
    <t>Purée de betterave à la semoule.html</t>
  </si>
  <si>
    <t>['25 g semoule de couscous', '120 g betterave(s)', '1 c. à café huile(s) végétale(s)']</t>
  </si>
  <si>
    <t>Purée de betterave au quinoa et chèvre.html</t>
  </si>
  <si>
    <t>['15 g quinoa', '120 g betterave(s)', '20 g fromage de chèvre', '1 c. à café huile(s) végétale(s)']</t>
  </si>
  <si>
    <t>Purée de betterave au quinoa.html</t>
  </si>
  <si>
    <t>['130 g betterave(s)', '20 g quinoa', "1 c. à café huile d'olive"]</t>
  </si>
  <si>
    <t>Purée de betterave, petits gâteaux de polenta à la carotte.html</t>
  </si>
  <si>
    <t>['150 g betterave(s)', '150 g carotte(s)', '25 g polenta', '1  oeuf(s)', "1 c. à soupe huile d'olive", '1 pincée cumin']</t>
  </si>
  <si>
    <t>Purée de betterave, polenta crémeuse au chou vert.html</t>
  </si>
  <si>
    <t>['70 g betterave(s)', '70 g chou vert', '15 g polenta', '1 c. à café crème', '  lait', '1 pincée bicarbonate de soude alimentaire']</t>
  </si>
  <si>
    <t>Purée de blanc de poireau à la semoule et filet de merlan.html</t>
  </si>
  <si>
    <t>['150 g poireau(x)', '20 g semoule de couscous', '1 c. à café huile(s) végétale(s)', '15 g merlan']</t>
  </si>
  <si>
    <t>Purée de blancs de poireau à la semoule.html</t>
  </si>
  <si>
    <t>['150 g poireau(x)', '20 g semoule de couscous', '1 c. à café huile(s) végétale(s)']</t>
  </si>
  <si>
    <t>Purée de boeuf carottes.html</t>
  </si>
  <si>
    <t>['250 g carotte(s)', '10 à 15 g boeuf', '1 c. à café huile(s) végétale(s)', '1 pincée cumin']</t>
  </si>
  <si>
    <t>Purée de brocoli et aneth au riz blanc.html</t>
  </si>
  <si>
    <t>['20 g riz', '180 g brocoli', '  citron(s)', '1 pincée aneth', '1 c. à café huile(s) végétale(s)']</t>
  </si>
  <si>
    <t>Purée de brocolis aux champignons.html</t>
  </si>
  <si>
    <t>['150 g brocoli', '100 g champignons', "1 c. à café huile d'olive", '¼  oignon(s)']</t>
  </si>
  <si>
    <t>Purée de brocolis et riz.html</t>
  </si>
  <si>
    <t>['200 g brocoli', '20 g riz', '  citron(s)', '1 c. à café huile(s) végétale(s)']</t>
  </si>
  <si>
    <t>Purée de butternut au quinoa et saumon.html</t>
  </si>
  <si>
    <t>['150 g butternut', '15 g saumon', '1 c. à soupe lait de coco', '15 g quinoa']</t>
  </si>
  <si>
    <t>Purée de butternut aux noisettes.html</t>
  </si>
  <si>
    <t>['200 g butternut', '10 g noisettes', '1 c. à café huile(s) végétale(s)']</t>
  </si>
  <si>
    <t>Purée de butternut et coing aux épices.html</t>
  </si>
  <si>
    <t>['130 g butternut', '50 g pomme(s) de terre', '½  coing(s)', '  épices à couscous', '1 c. à café huile(s) végétale(s)']</t>
  </si>
  <si>
    <t>Purée de butternut et croustillant au sarrasin et noisettes.html</t>
  </si>
  <si>
    <t>Purée de butternut et riz.html</t>
  </si>
  <si>
    <t>['20 g riz', '150 g butternut', '1 c. à café huile(s) végétale(s)']</t>
  </si>
  <si>
    <t>Purée de carotte et courgette au curry.html</t>
  </si>
  <si>
    <t>['90 g carotte(s)', '90 g courgette(s)', '60 g pomme(s) de terre', '1 c. à café crème', '1 à 2 pincée curry']</t>
  </si>
  <si>
    <t>Purée de carottes au cumin.html</t>
  </si>
  <si>
    <t>['250 g carotte(s)', '1 c. à café huile(s) végétale(s)', '1 pincée cumin']</t>
  </si>
  <si>
    <t>Purée de carottes aux herbes et quinoa.html</t>
  </si>
  <si>
    <t>['15 g quinoa', '200 g carotte(s)', '1 pincée herbes aromatiques', '1 c. à café huile(s) végétale(s)']</t>
  </si>
  <si>
    <t>Purée de carottes aux herbes et semoule.html</t>
  </si>
  <si>
    <t>['25 g semoule de couscous', '200 g carotte(s)', '1 c. à café huile(s) végétale(s)', '1 pincée herbes aromatiques']</t>
  </si>
  <si>
    <t>Purée de carottes et poireaux aux petites pâtes.html</t>
  </si>
  <si>
    <t>['15 g pâtes', '120 g carotte(s)', '80 g poireau(x)', '1 c. à café huile(s) végétale(s)']</t>
  </si>
  <si>
    <t>Purée de carottes et quinoa au cumin.html</t>
  </si>
  <si>
    <t>['200 g carotte(s)', '15 g quinoa', '1 c. à café huile(s) végétale(s)', '1 pincée cumin']</t>
  </si>
  <si>
    <t>Purée de carottes, écrasé de pomme de terre au persil et truite.html</t>
  </si>
  <si>
    <t>['80 g pomme(s) de terre', '¼ gousse ail', '1 c. à café crème', '1 pincée persil', '130 g carotte(s)', '15 g truite']</t>
  </si>
  <si>
    <t>Purée de carottes, semoule et jambon.html</t>
  </si>
  <si>
    <t>['180 g carotte(s)', '25 g semoule de couscous', '15 g jambon blanc', '1 c. à café huile(s) végétale(s)']</t>
  </si>
  <si>
    <t>Purée de carottes, topinambour et boeuf aux champignons.html</t>
  </si>
  <si>
    <t>['100 g carotte(s)', '100 g topinambour(s)', '15 à 20 g boeuf', '50 g champignons', '1 c. à café huile(s) végétale(s)']</t>
  </si>
  <si>
    <t>Purée de céleri branche et courgette.html</t>
  </si>
  <si>
    <t>['60 g pomme(s) de terre', '100 g courgette(s)', '100 g céleri-branche', '1 c. à café huile(s) végétale(s)']</t>
  </si>
  <si>
    <t>Purée de céleri et pomme de terre.html</t>
  </si>
  <si>
    <t>['175 g céleri-rave', '100 g pomme(s) de terre', '1 pincée muscade moulue', '1 c. à café huile(s) végétale(s)']</t>
  </si>
  <si>
    <t>Purée de céleri-rave et sauté de dinde à la coriandre.html</t>
  </si>
  <si>
    <t>['220 g céleri-rave', '15 g dinde', '1 pincée coriandre', '¼  oignon(s)', "1 c. à café huile d'olive", '1 c. à café huile(s) végétale(s)']</t>
  </si>
  <si>
    <t>Purée de chayote et patate douce.html</t>
  </si>
  <si>
    <t>['1  patate douce', '1  chayote(s)', '  huile(s) végétale(s)']</t>
  </si>
  <si>
    <t>Purée de chou rouge à l’huile d’olive.html</t>
  </si>
  <si>
    <t>['250 g chou-rouge', '60 g pomme(s) de terre', "1 c. à café huile d'olive"]</t>
  </si>
  <si>
    <t>Purée de chou rouge aux pommes, boeuf à la coriandre et quinoa.html</t>
  </si>
  <si>
    <t>['150 g chou-rouge', '½  pomme(s)', '15 g boeuf haché', '  coriandre', '15 g quinoa', "1 c. à soupe huile d'olive"]</t>
  </si>
  <si>
    <t>Purée de chou rouge, boulettes de poulet au potimarron.html</t>
  </si>
  <si>
    <t>['250 g chou-rouge', '60 g pomme(s) de terre', '30 g potimarron', '20 g poulet', "1 c. à café huile d'olive", '1 c. à café oignon(s)', '1 pincée coriandre']</t>
  </si>
  <si>
    <t>Purée de chou-fleur et patate douce au curry.html</t>
  </si>
  <si>
    <t>['120 g chou-fleur', '120 g patate(s) douce(s)', '1 c. à café crème', '1 pincée curry']</t>
  </si>
  <si>
    <t>Purée de chou-rave et carottes, cabillaud à la tomate.html</t>
  </si>
  <si>
    <t>['80 g carotte(s)', '80 g chou-rave', '40 g tomate(s)', '15 g cabillaud', '1 c. à café huile(s) végétale(s)']</t>
  </si>
  <si>
    <t>Purée de choux de Bruxelles au jambon.html</t>
  </si>
  <si>
    <t>['200 g choux de Bruxelles', '75 g pomme(s) de terre', '15 à 20 g jambon blanc', "1 c. à soupe huile d'olive"]</t>
  </si>
  <si>
    <t>Purée de courge, sauce à la carbonara.html</t>
  </si>
  <si>
    <t>['250 g courge', '15 g jambon blanc', '¼  oignon(s)', '1 c. à café crème', "1 c. à café huile d'olive"]</t>
  </si>
  <si>
    <t>Purée de courge.html</t>
  </si>
  <si>
    <t>['250 g courge', '1 c. à café huile(s) végétale(s)']</t>
  </si>
  <si>
    <t>Purée de courgettes « mimosa ».html</t>
  </si>
  <si>
    <t>['160 g courgette(s)', '30 g pain', '1 c. à café huile(s) végétale(s)', '¼  oeuf(s)']</t>
  </si>
  <si>
    <t>Purée de fenouil au poisson.html</t>
  </si>
  <si>
    <t>['160 g fenouil', '100 g pomme(s) de terre', '10 à 20 g poisson', '1 c. à café huile(s) végétale(s)', '  aneth']</t>
  </si>
  <si>
    <t>Purée de fenouil, filet de poisson et sauce au pamplemousse.html</t>
  </si>
  <si>
    <t>['½  pamplemousse', '60 g pomme(s) de terre', '129.50340798442 g fenouil', '20 g cabillaud', '1 c. à café huile(s) végétale(s)']</t>
  </si>
  <si>
    <t>Purée de fenouil, poisson et pamplemousse.html</t>
  </si>
  <si>
    <t>['½  pamplemousse', '60 g pomme(s) de terre', '100 g fenouil', '20 g cabillaud', '1 c. à café huile(s) végétale(s)']</t>
  </si>
  <si>
    <t>Purée de fenouil, pomme et aneth.html</t>
  </si>
  <si>
    <t>['150 g fenouil', '1  pomme(s)', '1 pincée aneth', '1 c. à café huile(s) végétale(s)']</t>
  </si>
  <si>
    <t>Purée de fenouil.html</t>
  </si>
  <si>
    <t>['160 g fenouil', '100 g pomme(s) de terre', '1 c. à café huile(s) végétale(s)', '  aneth']</t>
  </si>
  <si>
    <t>Purée de haricots plats.html</t>
  </si>
  <si>
    <t>['200 g haricots plats']</t>
  </si>
  <si>
    <t>Purée de légumes à la limande.html</t>
  </si>
  <si>
    <t>['75 g chou-fleur', '50 g courge spaghetti', '75 g carotte(s)', '50 g petits pois', '20 g limande', '1 c. à café huile(s) végétale(s)']</t>
  </si>
  <si>
    <t>Purée de légumes à la semoule.html</t>
  </si>
  <si>
    <t>['25 g semoule de couscous', '50 g courgette(s)', '50 g carotte(s)', '50 g tomate(s)', '1 c. à café huile(s) végétale(s)']</t>
  </si>
  <si>
    <t>Purée de légumes oubliés au jambon.html</t>
  </si>
  <si>
    <t>['50 g céleri-rave', '50 g panais', '50 g topinambour(s)', '50 g rutabaga(s)', '50 g carotte(s)', '50 g pomme(s) de terre', '20 g jambon blanc', '2 c. à café huile(s) végétale(s)']</t>
  </si>
  <si>
    <t>Purée de légumes, semoule et cabillaud.html</t>
  </si>
  <si>
    <t>['50 g courgette(s)', '50 g carotte(s)', '50 g tomate(s)', '25 g semoule de couscous', '15 g cabillaud', '1 c. à café huile(s) végétale(s)', '  citron(s)']</t>
  </si>
  <si>
    <t>Purée de lentilles corail à la tomate et haricots verts.html</t>
  </si>
  <si>
    <t>['20 g lentilles corail', '60 g tomate(s)', '100 g haricots verts', '1 c. à café huile(s) végétale(s)', '  herbes aromatiques', '20 g poisson blanc']</t>
  </si>
  <si>
    <t>Purée de lentilles corail et carottes au cumin.html</t>
  </si>
  <si>
    <t>['25 g lentilles corail', '200 g carotte(s)', '1 c. à café huile(s) végétale(s)', '1 pincée cumin']</t>
  </si>
  <si>
    <t>Purée de ma grand-mère.html</t>
  </si>
  <si>
    <t>['60 g poireau(x)', '60 g courgette(s)', '60 g carotte(s)', '60 g pomme(s) de terre', '1 c. à café huile(s) végétale(s)', '  ciboulette']</t>
  </si>
  <si>
    <t>Purée de mamie Paulette.html</t>
  </si>
  <si>
    <t>['50 g chou vert', '50 g navet(s)', '50 g carotte(s)', '50 g poireau(x)', '50 g pomme(s) de terre', '1 c. à café huile(s) végétale(s)', '  herbes aromatiques']</t>
  </si>
  <si>
    <t>Purée de panais et céleri-rave au cabillaud.html</t>
  </si>
  <si>
    <t>['120 g céleri-rave', '120 g panais', '15 à 20 g cabillaud', '1 c. à café huile(s) végétale(s)']</t>
  </si>
  <si>
    <t>Purée de patate douce au curry.html</t>
  </si>
  <si>
    <t>['180 g patate(s) douce(s)', '25 mL lait de coco', '1 pincée(s) curry']</t>
  </si>
  <si>
    <t>Purée de patate douce et carotte au gingembre.html</t>
  </si>
  <si>
    <t>['120 g patate(s) douce(s)', '150 g carotte(s)', '1 c. à café huile(s) végétale(s)', '1 pincée coriandre', '  gingembre frais']</t>
  </si>
  <si>
    <t>Purée de patate douce et poulet aux pruneaux.html</t>
  </si>
  <si>
    <t>['150 g patate(s) douce(s)', '15 g poulet', '30 g pruneau(x)', '1 c. à café huile(s) végétale(s)']</t>
  </si>
  <si>
    <t>Purée de pâtisson rôti aux épices.html</t>
  </si>
  <si>
    <t>['500 g pâtisson(s)', '1 c. à soupe huile(s) végétale(s)', '  épices']</t>
  </si>
  <si>
    <t>Purée de petits légumes.html</t>
  </si>
  <si>
    <t>['50 g pomme(s) de terre', '50 g navet(s)', '50 g petits pois', '50 g carotte(s)', '1 c. à café huile(s) végétale(s)']</t>
  </si>
  <si>
    <t>Purée de petits pois, crème de fenouil et rillettes de sardines à l’aneth.html</t>
  </si>
  <si>
    <t>['50 g petits pois', '100 g fenouil', '80 g pomme(s)', '10 g sardine', '10 g fromage frais', '1 pincée aneth', '1 c. à café huile(s) végétale(s)']</t>
  </si>
  <si>
    <t>Purée de poireau et colin.html</t>
  </si>
  <si>
    <t>['100 g pomme(s) de terre', '100 g poireau(x)', '20 g colin', '1 c. à café huile(s) végétale(s)', '  citron(s)']</t>
  </si>
  <si>
    <t>Purée de poireaux aux épices.html</t>
  </si>
  <si>
    <t>['80 g pomme(s) de terre', '125 g poireau(x)', '1 pincée curry', '1 c. à café huile(s) végétale(s)']</t>
  </si>
  <si>
    <t>Purée de poivrons rouges au quinoa et dinde.html</t>
  </si>
  <si>
    <t>['15 g quinoa', '200 g poivron(s) rouge(s)', '15 g dinde', '1 c. à café huile(s) végétale(s)']</t>
  </si>
  <si>
    <t>Purée de pomme de terre au jambon, pomme poêlée et épinards.html</t>
  </si>
  <si>
    <t>['60 g pomme(s) de terre', '100 g pomme(s)', "60 g pousses d'épinards", '20 g jambon blanc', "1 c. à café huile d'olive", '10 g parmesan']</t>
  </si>
  <si>
    <t>Purée de pomme de terre et courgettes aux herbes.html</t>
  </si>
  <si>
    <t>['150 g courgette(s)', '60 g pomme(s) de terre', "1 c. à café huile d'olive", '  herbes aromatiques']</t>
  </si>
  <si>
    <t>Purée de pomme de terre, filet mignon à la sauce aux abricots et amandes.html</t>
  </si>
  <si>
    <t>['120 g pomme(s) de terre', '15 g filet mignon', '2  abricot(s)', "1 c. à soupe huile d'olive", '1 feuilles sauge', "1 c. à café poudre d'amandes"]</t>
  </si>
  <si>
    <t>Purée de pommes, épinards et jambon.html</t>
  </si>
  <si>
    <t>['60 g pomme(s) de terre', '75 g pomme(s)', "75 g pousses d'épinards", '15 g jambon blanc', "1 c. à café huile d'olive"]</t>
  </si>
  <si>
    <t>Purée de potimarron au curcuma.html</t>
  </si>
  <si>
    <t>['250 g potimarron', '1 c. à café huile(s) végétale(s)', '1 pincée curcuma']</t>
  </si>
  <si>
    <t>Purée de potimarron et champignons à la crème.html</t>
  </si>
  <si>
    <t>['180 g potimarron', '80 g champignons', '1 c. à café crème']</t>
  </si>
  <si>
    <t>Purée de ratatouille et riz.html</t>
  </si>
  <si>
    <t>['20 g riz', '40 g courgette(s)', '40 g aubergine(s)', '40 g tomate(s)', '40 g poivron(s) vert(s)', '10 g oignon(s)', "1 c. à café huile d'olive", '1 pincée herbes aromatiques']</t>
  </si>
  <si>
    <t>Purée de semoule façon taboulé parfumé.html</t>
  </si>
  <si>
    <t>['25 g semoule de couscous', '100 g tomate(s)', '20 g raisins secs', '  herbes aromatiques', "1 c. à café huile d'olive"]</t>
  </si>
  <si>
    <t>Purée de tomates mozza et duo de riz et quinoa.html</t>
  </si>
  <si>
    <t>['10 g riz', '10 g quinoa', '150 g tomate(s)', '15 g mozzarella', '½ gousse(s) ail', '½  oignon(s)', '1 pincée(s) thym', '1 feuille(s) basilic', "  huile d'olive"]</t>
  </si>
  <si>
    <t>Purée de veau et coing façon couscous.html</t>
  </si>
  <si>
    <t>['½  coing(s)', '25 g semoule de couscous', '15 g veau', '½ gousse ail', '½ petit oignon(s)', "1 c. à café huile d'olive", '  épices à couscous']</t>
  </si>
  <si>
    <t>Purée duo de petits pois carottes.html</t>
  </si>
  <si>
    <t>['100 g petits pois', '150 g carotte(s)', '1 c. à café huile(s) végétale(s)']</t>
  </si>
  <si>
    <t>Purée façon « chili sin carne » et riz.html</t>
  </si>
  <si>
    <t>['15 g riz', '75 g tomates concassées', '50 g carotte(s)', '30 g maïs', '20 g oignon(s)', "1 c. à soupe huile d'olive", '1 pincée épices mexicaines', '1 pincée coriandre']</t>
  </si>
  <si>
    <t>Purée façon Bo bun.html</t>
  </si>
  <si>
    <t>['90 g carotte(s)', '90 g concombre', '15 g vermicelles de riz', '15 g boeuf', '10 g ciboule', '1 pincée coriandre', '1 pincée menthe', "1 c. à café huile d'olive", '1 c. à café huile(s) végétale(s)']</t>
  </si>
  <si>
    <t>Purée façon bolognaise et petites pâtes.html</t>
  </si>
  <si>
    <t>['20 g pâtes', '100 g tomate(s)', '75 g carotte(s)', '¼  oignon(s)', '15 g boeuf haché', "1 c. à café huile d'olive", '  basilic']</t>
  </si>
  <si>
    <t>Purée façon cari bringelle.html</t>
  </si>
  <si>
    <t>['1  aubergine(s)', '1  tomate(s)', '1 tige(s) oignon(s) vert(s)', '1 bout gingembre frais', '1 pincée cumin', '1 pincée curcuma', '1 pincée thym', '1 c. à café huile d’olive']</t>
  </si>
  <si>
    <t>Purée façon couscous de poulet aux légumes.html</t>
  </si>
  <si>
    <t>['25 g semoule de couscous', '15 g poulet', '50 g carotte(s)', '50 g navet(s)', '50 g courgette(s)', '1 pincée épices', '1 c. à café huile(s) végétale(s)']</t>
  </si>
  <si>
    <t>Purée façon navarin d’agneau aux petits légumes.html</t>
  </si>
  <si>
    <t>['40 g pomme(s) de terre', '40 g navet(s)', '40 g petits pois', '40 g carotte(s)', '40 g tomate(s)', '½ gousse ail', '15 g agneau', "1 c. à café huile d'olive", '1 c. à café huile(s) végétale(s)', '  herbes aromatiques']</t>
  </si>
  <si>
    <t>Purée façon poêlée forestière et riz.html</t>
  </si>
  <si>
    <t>['20 g riz', '100 g carotte(s)', '80 g champignons', '¼  oignon(s)', '1 pincée thym', "1 c. à café huile d'olive", '1 c. à café huile(s) végétale(s)']</t>
  </si>
  <si>
    <t>Purée façon taboulé de quinoa au poulet.html</t>
  </si>
  <si>
    <t>['15 g quinoa', '80 g concombre', '80 g tomate(s)', '15 g poulet', "1 c. à café huile d'olive", '1 feuilles menthe']</t>
  </si>
  <si>
    <t>Purée fine de brocolis à la poire.html</t>
  </si>
  <si>
    <t>['150 g brocoli', '1  poire(s)', '1 c. à café huile(s) végétale(s)']</t>
  </si>
  <si>
    <t>Purée fine de lentilles corail, potimarron et noisettes.html</t>
  </si>
  <si>
    <t>['150 g potimarron', '25 g lentilles corail', '30 mL lait de coco', '1 c. à soupe poudre de noisettes', '  coriandre', '1 pincée bicarbonate de soude alimentaire']</t>
  </si>
  <si>
    <t>Purée onctueuse d’endives et patate douce.html</t>
  </si>
  <si>
    <t>['100 g patate(s) douce(s)', '180 g endive(s)', '1 c. à café crème fraîche']</t>
  </si>
  <si>
    <t>Purée onctueuse de panais et patate douce.html</t>
  </si>
  <si>
    <t>['100 g panais', '100 g patate(s) douce(s)', '1 c. à café huile(s) végétale(s)', '1 pincée épices']</t>
  </si>
  <si>
    <t>Purée pois cassés, crème de fenouil et rillettes de sardines à l’aneth.html</t>
  </si>
  <si>
    <t>['25 g pois cassés', '100 g fenouil', '½  pomme(s)', '20 g sardine', '10 g fromage frais', '1 pincée aneth', '1 c. à café huile(s) végétale(s)']</t>
  </si>
  <si>
    <t>Purée sucrée-salée de navets, poire et pruneaux.html</t>
  </si>
  <si>
    <t>['50 g pomme(s) de terre', '50 g navet(s)', '½  poire(s)', '3  pruneau(x)', '1 c. à café huile(s) végétale(s)']</t>
  </si>
  <si>
    <t>Quartiers de tomate sauce fromage blanc basilic.html</t>
  </si>
  <si>
    <t>['1  tomate(s)', '30 g fromage blanc', '  basilic']</t>
  </si>
  <si>
    <t>Quartiers de tomates et lanières d’omelette.html</t>
  </si>
  <si>
    <t>['1 grosse tomate(s)', '1  oeuf']</t>
  </si>
  <si>
    <t>Quartiers de tomates et sauce fromage blanc basilic.html</t>
  </si>
  <si>
    <t>['1 grosse tomate(s)', '30 g fromage blanc', '  basilic']</t>
  </si>
  <si>
    <t>Quinoa à la crème de champignons, oeuf dur.html</t>
  </si>
  <si>
    <t>['15 g quinoa', '150 g champignons', '¼  oeuf(s)', '1 c. à café crème', '1 pincée herbes aromatiques']</t>
  </si>
  <si>
    <t>Quinoa à la sauce tomates.html</t>
  </si>
  <si>
    <t>['15 g quinoa', '180 g tomate(s)', '1 c. à café huile(s) végétale(s)', '  herbes aromatiques']</t>
  </si>
  <si>
    <t>Quinoa à la tomate et poulet.html</t>
  </si>
  <si>
    <t>['130 g tomate(s)', '15 g quinoa', '15 g poulet', '1 c. à café huile(s) végétale(s)']</t>
  </si>
  <si>
    <t>Quinoa au chou-fleur et saumon.html</t>
  </si>
  <si>
    <t>['200 g chou-fleur', '20 g quinoa', '20 g saumon', '1 c. à café huile(s) végétale(s)']</t>
  </si>
  <si>
    <t>Quinoa au velouté de chou-fleur gorgonzola, et poulet.html</t>
  </si>
  <si>
    <t>['180 g chou-fleur', '20 g quinoa', '10 g gorgonzola', '1 c. à café huile(s) végétale(s)', '10 g poulet']</t>
  </si>
  <si>
    <t>Quinoa aux légumes moulinés.html</t>
  </si>
  <si>
    <t>['100 g carotte(s)', '100 g courgette(s)', '15 g quinoa', '1 c. à café huile(s) végétale(s)', '  herbes aromatiques']</t>
  </si>
  <si>
    <t>Quinoa aux légumes.html</t>
  </si>
  <si>
    <t>Quinoa aux navets et fromage de chèvre.html</t>
  </si>
  <si>
    <t>['150 g navet(s)', '20 g fromage de chèvre', '15 g quinoa', '1 c. à café huile(s) végétale(s)']</t>
  </si>
  <si>
    <t>Quinoa aux navets, chèvre et miel.html</t>
  </si>
  <si>
    <t>['150 g navet(s)', '20 g fromage de chèvre', '1 c. à café miel', '20 g quinoa', '1 c. à café huile(s) végétale(s)']</t>
  </si>
  <si>
    <t>Quinoa aux poivrons et tomates cerises.html</t>
  </si>
  <si>
    <t>['100 g poivron(s) rouge(s)', '100 g tomates cerises', '15 g quinoa', '1 c. à café huile(s) végétale(s)']</t>
  </si>
  <si>
    <t>Quinoa crémeux aux champignons.html</t>
  </si>
  <si>
    <t>['15 g quinoa', '180 g champignons', '1 c. à café crème']</t>
  </si>
  <si>
    <t>Quinoa et betterave au chèvre.html</t>
  </si>
  <si>
    <t>Quinoa et navet à la crème et au thym.html</t>
  </si>
  <si>
    <t>['180 g navet(s)', '15 g quinoa', '1 c. à soupe crème', '  thym']</t>
  </si>
  <si>
    <t>Quinoa et purée de petits pois, courgettes et poulet à la menthe.html</t>
  </si>
  <si>
    <t>['10 g quinoa', '30 g petits pois', '120 g courgette(s)', '15 g poulet', 'quelques feuilles menthe', '1 c. à café huile(s) végétale(s)']</t>
  </si>
  <si>
    <t>Quinoa et purée de poivrons rouges.html</t>
  </si>
  <si>
    <t>['15 g quinoa', '200 g poivron(s) rouge(s)', '1 c. à café huile(s) végétale(s)']</t>
  </si>
  <si>
    <t>Quinoa et sauce aux poivrons et tomates cerises.html</t>
  </si>
  <si>
    <t>['80 g poivron(s) rouge(s)', '80 g tomates cerises', '15 g quinoa', '1 c. à café huile(s) végétale(s)']</t>
  </si>
  <si>
    <t>Quinoa et sauce tomates aux légumes.html</t>
  </si>
  <si>
    <t>['15 g quinoa', '100 g tomate(s)', '40 g courgette(s)', '40 g carotte(s)', '1 feuille(s) basilic', '1 c. à café huile(s) végétale(s)']</t>
  </si>
  <si>
    <t>Quinoa, courgettes au basilic et saumon.html</t>
  </si>
  <si>
    <t>['15 g quinoa', '150 g courgette(s)', '20 g saumon', '1 feuille(s) basilic', "1 c. à café huile d'olive"]</t>
  </si>
  <si>
    <t>Quinoa, courgettes et boulettes de boeuf aux oignons.html</t>
  </si>
  <si>
    <t>['15 g quinoa', '120 g courgette(s)', '½  oignon(s) nouveau(x)', '25 g boeuf haché', '1 feuille(s) basilic', '1 c. à café huile(s) végétale(s)', '1 pincée(s) gingembre moulu']</t>
  </si>
  <si>
    <t>Quinoa, poivrons fondants et dinde.html</t>
  </si>
  <si>
    <t>['15 g quinoa', '220 g poivron(s) rouge(s)', '20 g dinde', '1 c. à café huile(s) végétale(s)']</t>
  </si>
  <si>
    <t>Quinoa, purée de courge butternut et boeuf.html</t>
  </si>
  <si>
    <t>['15 g quinoa', '150 g butternut', '15 g boeuf', '1 c. à café huile(s) végétale(s)', '1 pincée coriandre']</t>
  </si>
  <si>
    <t>Quinoa, sauce carotte et tomate.html</t>
  </si>
  <si>
    <t>['130 g carotte(s)', '50 g coulis de tomates', '10 g oignon(s)', '10 g quinoa', '1 pincée coriandre', "1 c. à café huile d'olive"]</t>
  </si>
  <si>
    <t>Quinoa, sauce tomate aux légumes.html</t>
  </si>
  <si>
    <t>['150 g carotte(s)', '50 g coulis de tomates', '10 g oignon(s)', '15 g quinoa', '1 pincée coriandre', "1 c. à café huile d'olive"]</t>
  </si>
  <si>
    <t>Quinotto aux épinards, noisettes et fromage de brebis.html</t>
  </si>
  <si>
    <t>['130 g épinards', '20 g quinoa', '10 à 20 g fromage de brebis frais', '1 c. à café huile(s) végétale(s)', '1 c. à café noisettes en poudre']</t>
  </si>
  <si>
    <t>Quinotto de butternut au saumon.html</t>
  </si>
  <si>
    <t>['160 g butternut', '20 g quinoa', '20 g saumon', '1 c. à soupe lait de coco']</t>
  </si>
  <si>
    <t>Quinotto de chou fleur gorgonzola, et poulet.html</t>
  </si>
  <si>
    <t>['150 g chou-fleur', '15 g quinoa', '10 g gorgonzola', '1 c. à café huile(s) végétale(s)', '10 g poulet']</t>
  </si>
  <si>
    <t>Quinotto de courgettes au basilic.html</t>
  </si>
  <si>
    <t>Radis noir rôti au thym et au paprika.html</t>
  </si>
  <si>
    <t>['200 g radis noir', '1 c. à café huile(s) végétale(s)', '1 pincée thym', '1 pincée paprika']</t>
  </si>
  <si>
    <t>Ragoût de boeuf aux champignons.html</t>
  </si>
  <si>
    <t>['100 g champignons de Paris', '30 g carotte(s)', '20 g oignon(s)', '2 c. à soupe tomates concassées', '20 g boeuf', '60 g pomme(s) de terre', "1 c. à café huile d'olive"]</t>
  </si>
  <si>
    <t>Ragoût de légumes et riz.html</t>
  </si>
  <si>
    <t>['50 g coulis de tomates', '75 g carotte(s)', '75 g navet(s)', '20 g riz', '1 pincée herbes aromatiques', '1 c. à café huile(s) végétale(s)']</t>
  </si>
  <si>
    <t>Ratatouille (vapeur) et riz.html</t>
  </si>
  <si>
    <t>['20 g riz', '40 g courgette(s)', '40 g aubergine(s)', '40 g tomate(s)', '50 g poivron(s) vert(s)', '10 g oignon(s)', "1 c. à café huile d'olive", '1 pincée herbes aromatiques']</t>
  </si>
  <si>
    <t>Ratatouille et riz à la sardine.html</t>
  </si>
  <si>
    <t>['20 g riz', '20 g sardine', '40 g courgette(s)', '40 g aubergine(s)', '40 g tomate(s)', '50 g poivron(s) vert(s)', '10 g oignon(s)', "1 c. à café huile d'olive", '1 pincée herbes aromatiques']</t>
  </si>
  <si>
    <t>Ratatouille et riz au filet de poulet.html</t>
  </si>
  <si>
    <t>['60 g tomate(s)', '60 g poivron(s) rouge(s)', '40 g courgette(s)', '40 g aubergine(s)', '½  oignon(s)', '20 g riz', '20 g poulet', "1 c. à café huile d'olive"]</t>
  </si>
  <si>
    <t>Ratatouille et riz.html</t>
  </si>
  <si>
    <t>['20 g riz', '50 g courgette(s)', '50 g tomate(s)', '50 g aubergine(s)', '30 g poivron(s) rouge(s)', '½ gousse(s) ail', '¼  oignon(s)', '1 pincée(s) thym', "  huile d'olive", '½  oeuf(s)']</t>
  </si>
  <si>
    <t>Rillettes végétales de lentilles et noix.html</t>
  </si>
  <si>
    <t>['80 g lentilles vertes', '80 g noix', '1  oignon(s)', '  huile d’olive', '2 c. à soupe huile de sésame', '2 c. à soupe jus de citron', '  paprika']</t>
  </si>
  <si>
    <t>Risotto à la betterave, oeuf dur.html</t>
  </si>
  <si>
    <t>['30 g riz pour risotto', '120 g betterave(s)', '¼  oignon(s)', '⅓  oeuf(s)', "1 c. à café huile d'olive"]</t>
  </si>
  <si>
    <t>Risotto à la carotte.html</t>
  </si>
  <si>
    <t>['25 g riz pour risotto', '150 g carotte(s)', '¼  oignon(s)', "1 c. à café huile d'olive", '1 pincée herbes aromatiques']</t>
  </si>
  <si>
    <t>Risotto aux blettes.html</t>
  </si>
  <si>
    <t>['30 g riz pour risotto', '1  oignon(s) nouveau(x)', '100 g blettes', '1 feuilles basilic', '1 c. à café huile(s) végétale(s)']</t>
  </si>
  <si>
    <t>Risotto aux cèpes et poulet.html</t>
  </si>
  <si>
    <t>['20 g riz pour risotto', '150 g cèpes', '20 g poulet', '½  oignon(s) jaune(s)', "1 c. à café huile d'olive", '1 c. à café crème', '1 pincée coriandre', '5 g fromage râpé']</t>
  </si>
  <si>
    <t>Risotto aux cèpes.html</t>
  </si>
  <si>
    <t>['20 g riz pour risotto', '150 g cèpes', '½  oignon(s) jaune(s)', "1 c. à café huile d'olive", '1 c. à café crème', '1 pincée coriandre', '5 g fromage râpé']</t>
  </si>
  <si>
    <t>Risotto aux courgettes et bleu d’Auvergne.html</t>
  </si>
  <si>
    <t>['25 g riz', '150 g courgette(s)', '10 g bleu', '1 c. à café crème fraîche']</t>
  </si>
  <si>
    <t>Risotto aux courgettes, menthe et colin.html</t>
  </si>
  <si>
    <t>['30 g riz pour risotto', '120 g courgette(s)', '2.1  oignon(s) nouveau(x)', '20 g colin', '1 feuille(s) menthe', '  citron vert', "1 c. à soupe huile d'olive"]</t>
  </si>
  <si>
    <t>Risotto aux petits pois et fenouil.html</t>
  </si>
  <si>
    <t>['20 g riz', '40 g petits pois', '100 g fenouil', '20 g fromage de brebis frais', '1 feuilles menthe', '1 c. à café huile(s) végétale(s)']</t>
  </si>
  <si>
    <t>Risotto aux petits pois, fenouil et poisson.html</t>
  </si>
  <si>
    <t>['20 g riz', '40 g petits pois', '100 g fenouil', '20 g fromage de brebis frais', '1 feuilles menthe', '1 c. à café huile(s) végétale(s)', '20 g poisson blanc']</t>
  </si>
  <si>
    <t>Risotto crémeux aux courgettes, menthe et colin.html</t>
  </si>
  <si>
    <t>['20 g riz pour risotto', '150 g courgette(s)', '½  oignon(s) nouveau(x)', '15 g colin', '1 feuille(s) menthe', '½  citron vert', "1 c. à café huile d'olive"]</t>
  </si>
  <si>
    <t>Risotto de carotte et poulet à l’orange.html</t>
  </si>
  <si>
    <t>['25 g riz pour risotto', '100 g carotte(s)', '½  échalote(s)', '½  orange(s)', "1 c. à café huile d'olive", '20 g poulet']</t>
  </si>
  <si>
    <t>Risotto de petits pois à la menthe et petite soupe de carottes.html</t>
  </si>
  <si>
    <t>['120 g carotte(s)', '15 g riz', '30 g petits pois', '10 g feta', '1 c. à café huile(s) végétale(s)', '1 feuilles menthe', '  herbes aromatiques']</t>
  </si>
  <si>
    <t>Risotto de petits pois à la menthe, et carottes râpées.html</t>
  </si>
  <si>
    <t>['15 g riz pour risotto', '40 g petits pois', '20 g feta ', '1 feuille(s) menthe', '100 g carotte(s)', "1 c. à café huile d'olive", '  citron(s)']</t>
  </si>
  <si>
    <t>Risotto de potimarron au romarin.html</t>
  </si>
  <si>
    <t>['30 g riz pour risotto', '220 g potimarron', '½  oignon(s)', '  parmesan', '  romarin', "  huile d'olive"]</t>
  </si>
  <si>
    <t>Risotto de potimarron et poulet au romarin.html</t>
  </si>
  <si>
    <t>['25 g riz pour risotto', '200 g potimarron', '15 g poulet', '½  oignon(s)', '  parmesan', '  romarin', "  huile d'olive"]</t>
  </si>
  <si>
    <t>Risotto mouliné à la carotte et à l’orange.html</t>
  </si>
  <si>
    <t>['20 g riz pour risotto', '100 g carotte(s)', '½  échalote(s)', '½  orange(s)', "1 c. à café huile d'olive", '1 pincée herbes aromatiques']</t>
  </si>
  <si>
    <t>Riz à la cantonaise.html</t>
  </si>
  <si>
    <t>['20 g riz', '130 g carotte(s)', '40 g petits pois', '15 g jambon blanc', '1 c. à café huile(s) végétale(s)']</t>
  </si>
  <si>
    <t>Riz à la crème de fenouil, et poisson.html</t>
  </si>
  <si>
    <t>['150 g fenouil', '1 c. à café huile(s) végétale(s)', '  citron(s)', '20 g riz', '20 g poisson']</t>
  </si>
  <si>
    <t>Riz à la mexicaine.html</t>
  </si>
  <si>
    <t>['20 g riz', '75 g tomate(s)', '60 g carotte(s)', '30 g maïs', '¼  oignon(s)', '1 pincée épices mexicaines', '1 pincée coriandre', "1 c. à café huile d'olive"]</t>
  </si>
  <si>
    <t>Riz à la purée de potiron.html</t>
  </si>
  <si>
    <t>['20 g riz', '200 g potiron', '1 c. à café huile(s) végétale(s)']</t>
  </si>
  <si>
    <t>Riz à la purée de ratatouille et sardine.html</t>
  </si>
  <si>
    <t>['20 g riz', '40 g courgette(s)', '40 g aubergine(s)', '40 g tomate(s)', '40 g poivron(s) vert(s)', '10 g oignon(s)', "1 c. à café huile d'olive", '1 pincée herbes aromatiques', '15 g sardine']</t>
  </si>
  <si>
    <t>Riz au butternut et colin.html</t>
  </si>
  <si>
    <t>['150 g butternut', '25 g riz', '20 g colin', '1 c. à café huile(s) végétale(s)', '  citron(s)']</t>
  </si>
  <si>
    <t>Riz au curry de légumes.html</t>
  </si>
  <si>
    <t>['25 g riz', '50 g navet(s)', '50 g carotte(s)', '50 g poireau(x)', '¼  oignon(s)', '1 c. à café crème', '1 pincée curry']</t>
  </si>
  <si>
    <t>Riz au curry de poulet et lait de coco.html</t>
  </si>
  <si>
    <t>['15 g riz', '70 g carotte(s)', '70 g navet(s)', '½  oignon(s)', '½ gousse(s) ail', '25 mL lait de coco', '1 pincée(s) curry', '1 pincée(s) gingembre moulu', '15 g poulet']</t>
  </si>
  <si>
    <t>Riz au guacamole, tomates cerises et thon.html</t>
  </si>
  <si>
    <t>['20 g riz', '½  avocat(s)', '50 g tomates cerises', '½  citron(s)', '15 g thon']</t>
  </si>
  <si>
    <t>Riz au guacamole.html</t>
  </si>
  <si>
    <t>['20 g riz', '½  avocat(s)', '60 g tomates cerises', '½  citron(s)']</t>
  </si>
  <si>
    <t>Riz au pesto d’épinards au comté.html</t>
  </si>
  <si>
    <t>['20 g riz', '130 g épinards', '10 g noix de cajou', '10 g comté', "1 c. à café huile d'olive"]</t>
  </si>
  <si>
    <t>Riz au potiron.html</t>
  </si>
  <si>
    <t>Riz au veau et purée de légumes d’été.html</t>
  </si>
  <si>
    <t>['15 g riz', '50 g courgette(s)', '50 g tomate(s)', '50 g poivron(s) rouge(s)', '15 g veau', '1 c. à café huile(s) végétale(s)']</t>
  </si>
  <si>
    <t>Riz aux aubergines et au thon.html</t>
  </si>
  <si>
    <t>['25 g riz', '150 g aubergine(s)', '20 g thon', '1 c. à café huile(s) végétale(s)']</t>
  </si>
  <si>
    <t>Riz aux courgettes crémeuses et herbes de Provence.html</t>
  </si>
  <si>
    <t>['150 g courgette(s)', '1 c. à café crème fraîche', '1 pincée herbes de Provence', '20 g riz']</t>
  </si>
  <si>
    <t>Riz aux petits légumes et maquereau au beurre citronné.html</t>
  </si>
  <si>
    <t>['20 g riz', '50 g navet(s)', '50 g carotte(s)', '50 g poireau(x)', '15 g maquereau', '1 noisette beurre', '½  citron(s)']</t>
  </si>
  <si>
    <t>Riz aux petits légumes.html</t>
  </si>
  <si>
    <t>['25 g riz', '30 g coulis de tomates', '50 g carotte(s)', '50 g chou-fleur', '50 g petits pois', '1 c. à café huile(s) végétale(s)']</t>
  </si>
  <si>
    <t>Riz aux poireaux et champignons.html</t>
  </si>
  <si>
    <t>['20 g riz', '80 g poireau(x)', '120 g champignons de Paris', '½  oignon(s)', '1 c. à café crème', "1 c. à café huile d'olive"]</t>
  </si>
  <si>
    <t>Riz aux pousses d’épinards et champignons.html</t>
  </si>
  <si>
    <t>['20 g riz', "50 g pousses d'épinards", '125 g champignons', '1  échalote(s)', '1 c. à café crème fraîche', '  persil']</t>
  </si>
  <si>
    <t>Riz cantonais.html</t>
  </si>
  <si>
    <t>['25 g riz', '50 g petits pois', '150 g carotte(s)', '20 g jambon blanc', '1 c. à café huile(s) végétale(s)']</t>
  </si>
  <si>
    <t>Riz crémeux aux poireaux et champignons.html</t>
  </si>
  <si>
    <t>['15 g riz', '80 g poireau(x)', '100 g champignons de Paris', '½  oignon(s)', '1 c. à café crème', "1 c. à café huile d'olive"]</t>
  </si>
  <si>
    <t>Riz et boulettes de cabillaud à la sauce tomates.html</t>
  </si>
  <si>
    <t>['25 g riz', '25 g cabillaud', '60 g coulis de tomates', '½  oignon(s)', '1 pincée(s) coriandre', "  huile d'olive"]</t>
  </si>
  <si>
    <t>Riz et navets crémeux aux herbes.html</t>
  </si>
  <si>
    <t>['20 g riz', '150 g navet(s)', '1 c. à café crème', '  herbes aromatiques']</t>
  </si>
  <si>
    <t>Riz et petits navets rôtis au miel.html</t>
  </si>
  <si>
    <t>['25 g riz', '200 g navet(s)', '1 c. à soupe miel', "1 c. à café huile d'olive"]</t>
  </si>
  <si>
    <t>Riz et poisson aux petits légumes.html</t>
  </si>
  <si>
    <t>['20 g riz', '20 g poisson', '120 g carotte(s)', '60 g navet(s)', 'quelques feuilles persil', '½  citron(s)', '1 c. à café huile(s) végétale(s)']</t>
  </si>
  <si>
    <t>Riz et purée de butternut au colin.html</t>
  </si>
  <si>
    <t>['20 g riz', '150 g butternut', '15 g colin', '1 c. à café huile(s) végétale(s)', '  citron(s)']</t>
  </si>
  <si>
    <t>Riz et purée de chou-fleur à l’indienne.html</t>
  </si>
  <si>
    <t>['20 g riz', '130 g chou-fleur', '¼  oignon(s)', '40 g coulis de tomates', '1 pincée garam masala ', "1 c. à café huile d'olive"]</t>
  </si>
  <si>
    <t>Riz et purée de ratatouille.html</t>
  </si>
  <si>
    <t>['20 g riz', '50 g tomate(s)', '50 g poivron(s) rouge(s)', '30 g courgette(s)', '30 g aubergine(s)', '½  oignon(s)', "1 c. à café huile d'olive"]</t>
  </si>
  <si>
    <t>Riz et ratatouille.html</t>
  </si>
  <si>
    <t>['60 g tomate(s)', '60 g poivron(s) rouge(s)', '40 g courgette(s)', '40 g aubergine(s)', '½  oignon(s)', '20 g riz', "1 c. à café huile d'olive"]</t>
  </si>
  <si>
    <t>Riz et sa fondue de poireaux au maquereau.html</t>
  </si>
  <si>
    <t>['25 g riz', '120 g poireau(x)', '1 c. à café crème', '20 g maquereau', '½  citron(s)']</t>
  </si>
  <si>
    <t>Riz et sa fondue poireau au jambon.html</t>
  </si>
  <si>
    <t>['20 g riz', '125 g poireau(x)', '1 c. à café crème', '15 g jambon blanc']</t>
  </si>
  <si>
    <t>Riz et sa poêlée forestière.html</t>
  </si>
  <si>
    <t>['20 g riz', '120 g carotte(s)', '80 g champignons', '¼  oignon(s)', '1 pincée thym', "1 c. à café huile d'olive", ' c. à café huile(s) végétale(s)']</t>
  </si>
  <si>
    <t>Riz et sa purée de légumes, boulettes de cabillaud.html</t>
  </si>
  <si>
    <t>['20 g riz', '50 g coulis de tomates', '50 g carotte(s)', '50 g rutabaga(s)', '20 g cabillaud', '1 c. à café huile(s) végétale(s)', '1 c. à soupe oignon(s)', '1 pincée coriandre']</t>
  </si>
  <si>
    <t>Riz et sa sauce tomate aux légumes.html</t>
  </si>
  <si>
    <t>['20 g riz', '50 g coulis de tomates', '50 g céleri-branche', '75 g carotte(s)', '¼  oignon(s)', '1 pincée thym', '1 c. à café huile(s) végétale(s)']</t>
  </si>
  <si>
    <t>Riz et sa tombée d’épinards à la crème.html</t>
  </si>
  <si>
    <t>['25 g riz', '150 g épinards', '1 c. à café crème fraîche']</t>
  </si>
  <si>
    <t>Riz et son duo de brocolis et champignons.html</t>
  </si>
  <si>
    <t>['20 g riz', '150 g brocoli', '70 g champignons', '1 c. à café huile(s) végétale(s)']</t>
  </si>
  <si>
    <t>Riz et son omelette aux légumes.html</t>
  </si>
  <si>
    <t>['20 g riz', '40 g haricots verts', '40 g tomate(s)', '40 g carotte(s)', '40 g concombre', '1 c. à café huile(s) végétale(s)', '1 pincée herbes aromatiques', '⅓  oeuf(s)']</t>
  </si>
  <si>
    <t>Riz et truite à la crème de brocoli.html</t>
  </si>
  <si>
    <t>['20 g riz', '20 g truite', '130 g brocoli', '  citron(s)', '1 c. à café crème']</t>
  </si>
  <si>
    <t>Riz et veau aux légumes d’été.html</t>
  </si>
  <si>
    <t>['20 g riz', '50 g courgette(s)', '50 g tomate(s)', '70 g poivron(s) rouge(s)', '20 g veau', '1 c. à café huile(s) végétale(s)']</t>
  </si>
  <si>
    <t>Riz parfumé aux petits légumes.html</t>
  </si>
  <si>
    <t>['20 g riz', '60 g carotte(s)', '50 g navet(s)', '50 g fenouil', '40 g petits pois', '10 g oignon(s)', '  coriandre', '  citron(s)']</t>
  </si>
  <si>
    <t>Riz, brocoli et poisson à l’orange.html</t>
  </si>
  <si>
    <t>['25 g riz', '200 g brocoli', '20 g poisson blanc', '20 mL orange(s)', '1 c. à café huile(s) végétale(s)']</t>
  </si>
  <si>
    <t>Riz, crème d’endive et maïs au thon.html</t>
  </si>
  <si>
    <t>['15 g riz', '60 g maïs', '200 g endive(s)', '15 g thon', '1 c. à café huile(s) végétale(s)', '1 brins ciboulette']</t>
  </si>
  <si>
    <t>Riz, crème de brocoli à l’orange et poisson.html</t>
  </si>
  <si>
    <t>['20 g riz', '180 g brocoli', '15 g poisson blanc', '½  orange(s)', '1 c. à café huile(s) végétale(s)']</t>
  </si>
  <si>
    <t>Riz, haricots verts et lanières d’omelette.html</t>
  </si>
  <si>
    <t>['20 g riz', '120 g haricots verts', '1 c. à café huile(s) végétale(s)', '¼  oeuf(s)', '  herbes aromatiques']</t>
  </si>
  <si>
    <t>Riz, potiron et haricots rouges.html</t>
  </si>
  <si>
    <t>['150 g potiron', '50 g haricots rouges', '20 g riz', '1 c. à café huile(s) végétale(s)']</t>
  </si>
  <si>
    <t>Riz, potiron et maïs doux.html</t>
  </si>
  <si>
    <t>['20 g riz', '130 g potiron', '50 g maïs', '1 c. à café huile(s) végétale(s)']</t>
  </si>
  <si>
    <t>Rondelles de concombre cuites et sauce à la menthe.html</t>
  </si>
  <si>
    <t>['150 g concombre', '30 g fromage blanc', '  menthe']</t>
  </si>
  <si>
    <t>Rondelles de courgette et fromage frais à la menthe.html</t>
  </si>
  <si>
    <t>['200 g courgette(s)', '20 g fromage frais', '  menthe']</t>
  </si>
  <si>
    <t>Rondelles de courgette et sauce à la ciboulette.html</t>
  </si>
  <si>
    <t>['150 g courgette(s)', '30 g fromage blanc', '  ciboulette']</t>
  </si>
  <si>
    <t>Rondelles de courgette sauce fromage frais et ciboulette.html</t>
  </si>
  <si>
    <t>['1  courgette(s)', '30 g fromage frais', '5  brin(s) ciboulette']</t>
  </si>
  <si>
    <t>Rondelles de courgette, sauce fromage blanc curry.html</t>
  </si>
  <si>
    <t>['150 g courgette(s)', '30 g fromage blanc', '½ c. à café curry doux']</t>
  </si>
  <si>
    <t>Röstis de carottes courgette et fromage frais.html</t>
  </si>
  <si>
    <t>['75 g carotte(s)', '75 g courgette(s)', '35 g farine de riz', '35 mL lait', '15 g fromage frais', '1 c. à café huile(s) végétale(s)', '1 pincée(s) cumin']</t>
  </si>
  <si>
    <t>Röstis de courgettes.html</t>
  </si>
  <si>
    <t>['250 g courgette(s)', '2 c. à soupe fécule de maïs', '1 c. à soupe crème fraîche', '1 c. à café huile(s) végétale(s)', '1 pincée curry']</t>
  </si>
  <si>
    <t>Roulés au sarrasin et épinards (Recette de Noël).html</t>
  </si>
  <si>
    <t>['100 g farine de sarrasin', '50 g épinards', '1 c. à soupe fécule de maïs', '2 c. à soupe huile d’olive', '200 mL eau', '  garnitures au choix']</t>
  </si>
  <si>
    <t>Salade composée au riz.html</t>
  </si>
  <si>
    <t>['25 g riz', '40 g haricots verts', '40 g tomate(s)', '40 g carotte(s)', '20 g concombre', '1 c. à café huile(s) végétale(s)']</t>
  </si>
  <si>
    <t>Salade de chou-rave et carotte.html</t>
  </si>
  <si>
    <t>['50 g carotte(s)', '50 g chou-rave', '1 c. à café huile(s) végétale(s)', '½  citron(s)']</t>
  </si>
  <si>
    <t>Salade de chou, pomme et agrumes.html</t>
  </si>
  <si>
    <t>['30 g chou-rouge', '30 g pomme(s)', '1  clémentine(s)', "1 c. à café huile d'olive"]</t>
  </si>
  <si>
    <t>Salade de pâtes aux légumes provençaux et au thon.html</t>
  </si>
  <si>
    <t>['25 g pâtes', '30 g aubergine(s)', '30 g courgette(s)', '30 g poivron(s) rouge(s)', '30 g coulis de tomates', '20 g thon', '½ gousse ail', '1 c. à café huile(s) végétale(s)']</t>
  </si>
  <si>
    <t>Salade de pâtes aux tomates cerises, pesto de courgettes et cabillaud.html</t>
  </si>
  <si>
    <t>['120 g courgette(s)', '60 g tomates cerises', '20 g pâtes', '5 g pignons de pin', "1 c. à café huile d'olive", '  basilic', '20 g cabillaud']</t>
  </si>
  <si>
    <t>Salade de pommes de terre, haricots verts et tomates.html</t>
  </si>
  <si>
    <t>['80 g haricots verts', '75 g pomme(s) de terre', '60 g tomate(s)', '1 c. à café huile(s) végétale(s)', '  herbes aromatiques']</t>
  </si>
  <si>
    <t>Salade de quinoa aux petits pois, courgettes, poulet et menthe.html</t>
  </si>
  <si>
    <t>['10 g quinoa', '40 g petits pois', '120 g courgette(s)', '20 g poulet', 'quelques feuilles menthe', '1 c. à café huile(s) végétale(s)']</t>
  </si>
  <si>
    <t>Salade de riz, avocat, tomates cerises et thon.html</t>
  </si>
  <si>
    <t>['20 g riz', '½  avocat(s)', '60 g tomates cerises', '20 g thon', '½  citron(s)']</t>
  </si>
  <si>
    <t>Salade de tomates, aubergines et poivron à la marocaine.html</t>
  </si>
  <si>
    <t>['90 g poivron(s) vert(s)', '90 g tomate(s)', '90 g aubergine(s)', "1 c. à café huile d'olive", '  citron(s)', '  persil', '  cumin']</t>
  </si>
  <si>
    <t>Salade toute verte et nuggets de poisson aux poivrons.html</t>
  </si>
  <si>
    <t>['100 g pomme(s) de terre', '80 g courgette(s)', '80 g concombre', '10 g fromage de brebis frais', "1 c. à café huile d'olive", '1 feuilles menthe', '35 g poivron(s) rouge(s)', '20 g poisson blanc', '  chapelure']</t>
  </si>
  <si>
    <t>Saumon et purée de céleri-rave.html</t>
  </si>
  <si>
    <t>['130 g céleri-rave', '50 g pomme(s) de terre', '15 g saumon', '1 c. à café huile(s) végétale(s)']</t>
  </si>
  <si>
    <t>Saumon et sa crème de poireaux, boulgour.html</t>
  </si>
  <si>
    <t>['125 g poireau(x)', '15 g boulgour', '15 g saumon', '1 c. à café crème']</t>
  </si>
  <si>
    <t>Saumon et sa fondue de poireaux, boulgour.html</t>
  </si>
  <si>
    <t>['125 g poireau(x)', '20 g boulgour', '20 g saumon', '1 c. à café crème']</t>
  </si>
  <si>
    <t>Saumon vapeur (en morceaux).html</t>
  </si>
  <si>
    <t>['50 g saumon']</t>
  </si>
  <si>
    <t>Semoule à la purée d’endives et pommes.html</t>
  </si>
  <si>
    <t>['1 petite endive(s)', '1 petite pomme(s)', '25 g semoule de couscous', '1 c. à café huile(s) végétale(s)', "1 c. à café huile d'olive"]</t>
  </si>
  <si>
    <t>Semoule à la purée de betterave et pomme.html</t>
  </si>
  <si>
    <t>['80 g betterave(s)', '½  pomme(s)', '1 c. à café huile(s) végétale(s)', '20 g semoule de couscous']</t>
  </si>
  <si>
    <t>Semoule à la purée de carottes et rutabaga.html</t>
  </si>
  <si>
    <t>['25 g semoule de couscous', '100 g carotte(s)', '100 g rutabaga(s)', '1 c. à soupe huile(s) végétale(s)']</t>
  </si>
  <si>
    <t>Semoule au caviar d’aubergines et dinde.html</t>
  </si>
  <si>
    <t>['30 g semoule de couscous', '150 g aubergine(s)', '20 g dinde', "1 c. à café huile d'olive", '½ gousse(s) ail']</t>
  </si>
  <si>
    <t>Semoule au curry d’aubergines et tomates.html</t>
  </si>
  <si>
    <t>['100 g aubergine(s)', '60 g tomate(s)', '25 g semoule de couscous', '20 mL lait de coco', '1 pincée(s) curry']</t>
  </si>
  <si>
    <t>Semoule au maïs, aubergine et sardine.html</t>
  </si>
  <si>
    <t>['25 g semoule de couscous', '25 g maïs', '15 g sardine', '25 g tomate(s)', '80 g aubergine(s)', '  herbes aromatiques', '1 c. à café huile(s) végétale(s)', '  citron(s)']</t>
  </si>
  <si>
    <t>Semoule aux carottes et coriandre.html</t>
  </si>
  <si>
    <t>['30 g semoule de couscous', '180 g carotte(s)', '1 c. à café huile(s) végétale(s)', '  coriandre']</t>
  </si>
  <si>
    <t>Semoule aux carottes et dorade.html</t>
  </si>
  <si>
    <t>['30 g semoule de couscous', '180 g carotte(s)', '15 g dorade', '1 c. à café huile(s) végétale(s)', '  coriandre']</t>
  </si>
  <si>
    <t>Semoule aux courgettes à la menthe.html</t>
  </si>
  <si>
    <t>['130 g courgette(s)', '20 g fromage frais', 'quelques feuilles menthe', '1 c. à café huile(s) végétale(s)', '25 g semoule de couscous']</t>
  </si>
  <si>
    <t>Semoule aux endives et pommes braisées.html</t>
  </si>
  <si>
    <t>Semoule aux légumes (et crudités).html</t>
  </si>
  <si>
    <t>['25 g semoule de couscous', '40 g courgette(s)', '120 g carotte(s)', '40 g tomate(s)', '50 g chou-rave', '1 c. à café huile(s) végétale(s)', '  citron(s)']</t>
  </si>
  <si>
    <t>Semoule aux légumes et cabillaud.html</t>
  </si>
  <si>
    <t>['25 g semoule de couscous', '50 g courgette(s)', '50 g carotte(s)', '50 g tomate(s)', '20 g cabillaud', '1 c. à café huile(s) végétale(s)', '  citron(s)']</t>
  </si>
  <si>
    <t>Semoule bolognaise.html</t>
  </si>
  <si>
    <t>['25 g semoule de couscous', '100 g coulis de tomates', '20 g boeuf haché', '½  oignon(s)', '50 g carotte(s)', '1 pincée herbes aromatiques', "1 c. à café huile d'olive"]</t>
  </si>
  <si>
    <t>Semoule et boulettes de boeuf à l’orientale.html</t>
  </si>
  <si>
    <t>['30 g semoule de couscous', '25 g boeuf haché', '60 g coulis de tomates', '½  oignon(s)', '1 pincée(s) cumin', '1 pincée(s) coriandre']</t>
  </si>
  <si>
    <t>Semoule et carottes au maquereau.html</t>
  </si>
  <si>
    <t>['200 g carotte(s)', '25 g semoule de couscous', '15 à 20 g maquereau', '1 c. à café huile(s) végétale(s)']</t>
  </si>
  <si>
    <t>Semoule et potimarron fondant au canard.html</t>
  </si>
  <si>
    <t>['180 g potimarron', '25 g canard', '25 g semoule de couscous', '1 c. à café huile(s) végétale(s)']</t>
  </si>
  <si>
    <t>Semoule façon couscous au rutabaga et carottes.html</t>
  </si>
  <si>
    <t>['75 g rutabaga(s)', '75 g carotte(s)', '20 g concentré de tomates', '20 g raisins secs', '1 pincée épices', '25 g semoule de couscous', '1 c. à café huile(s) végétale(s)']</t>
  </si>
  <si>
    <t>Semoule, carottes aux herbes et poulet.html</t>
  </si>
  <si>
    <t>['25 g semoule de couscous', '200 g carotte(s)', '1 c. à café huile(s) végétale(s)', '1 pincée herbes aromatiques', '15 g poulet']</t>
  </si>
  <si>
    <t>Semoule, caviar d’aubergines et dinde.html</t>
  </si>
  <si>
    <t>['25 g semoule de couscous', '150 g aubergine(s)', '15 g dinde', "1 c. à café huile d'olive", '½ gousse(s) ail']</t>
  </si>
  <si>
    <t>Soupe au chou-fleur crémeuse.html</t>
  </si>
  <si>
    <t>['250 g chou-fleur', '1 c. à soupe crème', '  eau']</t>
  </si>
  <si>
    <t>Soupe au chou-fleur, carottes et cumin.html</t>
  </si>
  <si>
    <t>['150 g chou-fleur', '150 g carotte(s)', '1 c. à café huile(s) végétale(s)', '1 pincée cumin']</t>
  </si>
  <si>
    <t>Soupe au chou.html</t>
  </si>
  <si>
    <t>['120 g chou vert', '70 g carotte(s)', '70 g navet(s)', '1 c. à café huile(s) végétale(s)', '1 pincée bicarbonate de soude alimentaire']</t>
  </si>
  <si>
    <t>Soupe aux 5 légumes.html</t>
  </si>
  <si>
    <t>['30 g potimarron', '30 g poireau(x)', '30 g carotte(s)', '30 g panais', '30 g choux de Bruxelles', '30 g pomme(s) de terre', '1 c. à café huile(s) végétale(s)', '1 pincée thym']</t>
  </si>
  <si>
    <t>Soupe aux légumes d’hiver.html</t>
  </si>
  <si>
    <t>['50 g butternut', '50 g carotte(s)', '50 g pomme(s) de terre', '50 g patate(s) douce(s)', '50 g poireau(x)', '50 g chou vert', '1 pincée(s) curry doux', '1 pincée(s) herbes aromatiques', '  huile(s) végétale(s)']</t>
  </si>
  <si>
    <t>Soupe aux poireaux et céleri.html</t>
  </si>
  <si>
    <t>['100 g poireau(x)', '65 g céleri-branche', '50 g pomme(s) de terre', '1 c. à café huile(s) végétale(s)']</t>
  </si>
  <si>
    <t>Soupe aux poivrons, maïs, carottes et tomates.html</t>
  </si>
  <si>
    <t>['60 g poivron(s) rouge(s)', '60 g tomate(s)', '60 g carotte(s)', '40 g maïs', '¼  oignon(s)', '1 c. à café huile(s) végétale(s)', '1 pincée coriandre']</t>
  </si>
  <si>
    <t>Soupe carotte, potimarron et sarrasin.html</t>
  </si>
  <si>
    <t>['120 g potimarron', '120 g carotte(s)', '1 c. à café farine de sarrasin', '1 c. à café huile(s) végétale(s)', '1 pincée(s) herbes aromatiques']</t>
  </si>
  <si>
    <t>Soupe chinoise au poulet et vermicelles.html</t>
  </si>
  <si>
    <t>['10 g vermicelles de riz', '20 g poulet', '40 g chou chinois', '40 g poireau(x)', '30 g carotte(s)', '30 g champignons', '20 g petits pois', '1 bout gingembre frais', '  coriandre', '1 c. à café huile(s) végétale(s)']</t>
  </si>
  <si>
    <t>Soupe d’inspiration chinoise.html</t>
  </si>
  <si>
    <t>['15 g vermicelles de riz', '100 g carotte(s)', '20 g ciboule', '1 pincée coriandre', '1 pincée menthe', '1 c. à café huile(s) végétale(s)', '50 mL eau']</t>
  </si>
  <si>
    <t>Soupe de brocolis et petits pois au lait de coco.html</t>
  </si>
  <si>
    <t>['130 g brocoli', '80 g petits pois', '1 feuille(s) menthe', '25 mL lait de coco']</t>
  </si>
  <si>
    <t>Soupe de carottes et lentilles corail aux épices.html</t>
  </si>
  <si>
    <t>['150 g carotte(s)', '10 g lentilles corail', '1 c. à café huile(s) végétale(s)', '1 pincée épices']</t>
  </si>
  <si>
    <t>Soupe de céleri aux pommes, noix et bleu d’auvergne.html</t>
  </si>
  <si>
    <t>['½  pomme(s)', '100 g céleri-branche', '10 g bleu', '10 g noix']</t>
  </si>
  <si>
    <t>Soupe de céleri, châtaignes et épices.html</t>
  </si>
  <si>
    <t>['150 g céleri-rave', '50 g châtaignes', '1 pincée cannelle', '1 c. à café huile(s) végétale(s)']</t>
  </si>
  <si>
    <t>Soupe de légumes au persil.html</t>
  </si>
  <si>
    <t>['20 g concentré de tomates', '70 g carotte(s)', '70 g navet(s)', '10 g oignon(s)', '1 c. à café huile(s) végétale(s)', '50 mL eau']</t>
  </si>
  <si>
    <t>Soupe de melon au basilic.html</t>
  </si>
  <si>
    <t>['180 g melon', '1 feuille(s) basilic', '1 c. à café huile(s) végétale(s)']</t>
  </si>
  <si>
    <t>Soupe froide à la marocaine.html</t>
  </si>
  <si>
    <t>['90 g tomate(s)', '90 g poivron(s) vert(s)', '90 g carotte(s)', '  citron(s)', "  huile d'olive", '  persil', '  cumin']</t>
  </si>
  <si>
    <t>Soupe froide de légumes et sa mouillette.html</t>
  </si>
  <si>
    <t>['75 g courgette(s)', '50 g poivron(s) rouge(s)', '50 g poivron(s) jaune(s)', '100 g tomate(s)', '1 c. à café huile(s) végétale(s)', ' feuilles basilic', '2  craquotte(s)']</t>
  </si>
  <si>
    <t>Soupe hivernale.html</t>
  </si>
  <si>
    <t>['75 g carotte(s)', '50 g poireau(x)', '50 g céleri-branche', '50 g pomme(s) de terre', '1 c. à café huile(s) végétale(s)', '1 pincée herbes aromatiques']</t>
  </si>
  <si>
    <t>Soupe potiron, carotte, orange.html</t>
  </si>
  <si>
    <t>['120 g potiron', '120 g carotte(s)', '½  orange(s)', '1 c. à café huile(s) végétale(s)']</t>
  </si>
  <si>
    <t>Soupe thaï à la dorade.html</t>
  </si>
  <si>
    <t>['15 g vermicelles de riz', '60 g carotte(s)', '60 g concombre', '20 g dorade', '20 mL lait de coco', '½  citron vert', '  coriandre']</t>
  </si>
  <si>
    <t>Soupe thaï coco poisson.html</t>
  </si>
  <si>
    <t>['10 g vermicelles de riz', '30 g carotte(s)', '50 g brocoli', '20 g petits pois', '1  oignon(s) nouveau(x)', '20 g colin', '30 mL lait de coco', '1 feuille(s) basilic', '1 feuille(s) menthe', '1 pincée(s) gingembre moulu', '  citron vert']</t>
  </si>
  <si>
    <t>Spaghettis à la sauce tomates-carottes-basilic.html</t>
  </si>
  <si>
    <t>['25 g pâtes', '120 g tomate(s)', '75 g carotte(s)', '¼  oignon(s)', "1 c. à café huile d'olive", '  basilic']</t>
  </si>
  <si>
    <t>Steak végétarien à la betterave.html</t>
  </si>
  <si>
    <t>['40 g betterave(s)', '40 g pois chiches', "20 g flocons d'avoine", '¼  oignon(s)', '1 pincée(s) épices', "  huile d'olive"]</t>
  </si>
  <si>
    <t>Suprêmes de pamplemousse et brandade de morue.html</t>
  </si>
  <si>
    <t>['1  pamplemousse', '100 g pomme(s) de terre', '15 à 20 g cabillaud', '1 c. à café huile(s) végétale(s)', '  persil', '  chapelure']</t>
  </si>
  <si>
    <t>Sweet potatoes.html</t>
  </si>
  <si>
    <t>['300 g patate(s) douce(s)', '  huile d’olive']</t>
  </si>
  <si>
    <t>Taboulé de betterave et poire.html</t>
  </si>
  <si>
    <t>['100 g betterave(s)', '40 g poire(s)', '25 g semoule de couscous', '1 c. à café huile(s) végétale(s)', '  herbes aromatiques']</t>
  </si>
  <si>
    <t>Taboulé de quinoa au poulet.html</t>
  </si>
  <si>
    <t>['75 g concombre', '15 g quinoa', '75 g tomate(s)', '20 g poulet', '1 c. à café huile(s) végétale(s)', '1 feuilles menthe']</t>
  </si>
  <si>
    <t>Taboulé printanier au poulet.html</t>
  </si>
  <si>
    <t>['25 g semoule de couscous', '20 g poulet', '65 g concombre', '75 g carotte(s)', '30 g fenouil', '½  citron(s)', ' feuilles herbes aromatiques', '1 c. à café huile(s) végétale(s)']</t>
  </si>
  <si>
    <t>Tagliatelles de légumes au saumon.html</t>
  </si>
  <si>
    <t>['120 g carotte(s)', '120 g courgette(s)', '20 g saumon', "1 c. à café huile d'olive"]</t>
  </si>
  <si>
    <t>Tajine d’agneau aux poires et pruneaux.html</t>
  </si>
  <si>
    <t>['50 g pomme(s) de terre', '50 g navet(s)', '50 g tomate(s)', '½  poire(s)', '3  pruneau(x)', '20 g agneau', "1 c. à café huile d'olive", '1 pincée épices', '½ gousse ail']</t>
  </si>
  <si>
    <t>Tajine de poulet aux carottes, pruneaux et petits pois.html</t>
  </si>
  <si>
    <t>['100 g carotte(s)', '70 g petits pois', '40 g pruneau(x)', '20 g poulet', '1 pincée épices', "1 c. à café huile d'olive"]</t>
  </si>
  <si>
    <t>Tajine de poulet aux navets, fruits secs et amandes.html</t>
  </si>
  <si>
    <t>['80 g pomme(s) de terre', '80 g navet(s)', '40 g fruits secs', '20 g poulet', '20 g amandes', '1 pincée(s) épices']</t>
  </si>
  <si>
    <t>Tajine veggie aux carottes, patates douces et pruneaux.html</t>
  </si>
  <si>
    <t>['75 g patate(s) douce(s)', '60 g pruneau(x)', '120 g carotte(s)', "1 c. à café huile d'olive", '½  citron(s)', '1 pincée épices']</t>
  </si>
  <si>
    <t>Tajine veggie de fenouil et carottes.html</t>
  </si>
  <si>
    <t>['130 g fenouil', '150 g carotte(s)', '½  pamplemousse', '  épices', "  huile d'olive"]</t>
  </si>
  <si>
    <t>Tarte fine au pâtisson.html</t>
  </si>
  <si>
    <t>['300 g pâtisson(s)', '50 g farine', '⅓  oeuf(s)', "1 c. à soupe huile d'olive", '1 c. à café crème', '  épices', '20 mL eau chaude']</t>
  </si>
  <si>
    <t>Tartelette aux courgettes et chèvre.html</t>
  </si>
  <si>
    <t>['50 g farine', "1 c. à soupe huile d'olive", '20 mL eau', '100 g courgette(s)', '20 g fromage de chèvre', '  basilic']</t>
  </si>
  <si>
    <t>Tartelette de sarrasin, épinards et chèvre.html</t>
  </si>
  <si>
    <t>['100 g épinards', '½  oeuf(s)', '20 g farine de blé', '20 g farine de sarrasin', '10 g fromage de chèvre', '1 c. à soupe crème', "1 c. à soupe huile d'olive"]</t>
  </si>
  <si>
    <t>Tartines au tatziki de radis et purée de carotte.html</t>
  </si>
  <si>
    <t>['2  craquotte(s)', '100 g carotte(s)', '50 g radis rose', '½  yaourt', 'quelques brins  ciboulette', '1 c. à café huile(s) végétale(s)']</t>
  </si>
  <si>
    <t>Tomate farcie au poulet, petits légumes et quinoa.html</t>
  </si>
  <si>
    <t>['1  tomate(s)', '15 g quinoa', '20 g poulet', '30 g carotte(s)', '30 g poivron(s) rouge(s)', '  herbes aromatiques', "1 c. à café huile d'olive"]</t>
  </si>
  <si>
    <t>Tomates mozza et son duo de riz et quinoa.html</t>
  </si>
  <si>
    <t>['10 g riz', '10 g quinoa', '150 g tomate(s)', '20 g mozzarella', '½ gousse(s) ail', '½  oignon(s)', '1 pincée(s) thym', '1 feuille(s) basilic', "  huile d'olive"]</t>
  </si>
  <si>
    <t>Topinambour fondant au romarin.html</t>
  </si>
  <si>
    <t>['300 g topinambour(s)', '1 c. à café huile(s) végétale(s)', ' pincée romarin']</t>
  </si>
  <si>
    <t>Tortillas de patate douce, guacamole.html</t>
  </si>
  <si>
    <t>['120 g patate(s) douce(s)', '½  avocat(s)', '90 g farine', '½  citron(s)', '1 pincée(s) épices mexicaines']</t>
  </si>
  <si>
    <t>Tranches d’avocat panées sans cuisson.html</t>
  </si>
  <si>
    <t>['1  avocat(s)', "30 g flocons d'avoine"]</t>
  </si>
  <si>
    <t>Veau aux légumes verts.html</t>
  </si>
  <si>
    <t>['60 g fèves', '150 g courgette(s)', '20 g veau', '1 c. à café huile(s) végétale(s)']</t>
  </si>
  <si>
    <t>Veau et sa purée de légumes verts.html</t>
  </si>
  <si>
    <t>['50 g fèves', '150 g courgette(s)', '15 g veau', '1 c. à café huile(s) végétale(s)']</t>
  </si>
  <si>
    <t>Velouté aux asperges vertes.html</t>
  </si>
  <si>
    <t>['60 g pomme(s) de terre', '130 g asperge(s) verte(s)', '50 mL eau', '1 c. à café huile(s) végétale(s)']</t>
  </si>
  <si>
    <t>Velouté d’endive à la poire et fromage frais.html</t>
  </si>
  <si>
    <t>['200 g endive(s)', '1  poire(s)', '20 g fromage frais']</t>
  </si>
  <si>
    <t>Velouté d’endive au maïs.html</t>
  </si>
  <si>
    <t>['80 g maïs', '200 g endive(s)', '1 c. à café huile(s) végétale(s)']</t>
  </si>
  <si>
    <t>Velouté d’endives à la patate douce.html</t>
  </si>
  <si>
    <t>['150 g endive(s)', '80 g patate(s) douce(s)', '½  pomme(s)', '1 c. à café crème', "1 c. à café huile d'olive"]</t>
  </si>
  <si>
    <t>Velouté de betterave au yaourt.html</t>
  </si>
  <si>
    <t>['125 g betterave(s)', '½  yaourt', '1 c. à café huile(s) végétale(s)', '  ciboulette']</t>
  </si>
  <si>
    <t>Velouté de brocolis et pomme de terre au merlan.html</t>
  </si>
  <si>
    <t>['230 g brocoli', '75 g pomme(s) de terre', '1 c. à café huile(s) végétale(s)', '20 g merlan']</t>
  </si>
  <si>
    <t>Velouté de céleri et potiron à la noisette.html</t>
  </si>
  <si>
    <t>['130 g potiron', '75 g céleri-rave', '50 g pomme(s) de terre', '1 c. à soupe noisettes en poudre', '1 c. à café huile(s) végétale(s)']</t>
  </si>
  <si>
    <t>Velouté de céleri, pomme, pointe de bleu.html</t>
  </si>
  <si>
    <t>['150 g céleri-rave', '½  pomme(s)', '1 c. à café huile(s) végétale(s)', '20 g bleu', ' pincée thym']</t>
  </si>
  <si>
    <t>Velouté de châtaignes et panais aux noisettes.html</t>
  </si>
  <si>
    <t>['120 g panais', '50 g châtaignes', '1 c. à café huile(s) végétale(s)', '1 c. à soupe poudre de noisettes']</t>
  </si>
  <si>
    <t>Velouté de chou rouge et pomme.html</t>
  </si>
  <si>
    <t>['180 g chou-rouge', '½  pomme(s)', '50 g pomme(s) de terre', "1 c. à soupe huile d'olive"]</t>
  </si>
  <si>
    <t>Velouté de chou vert.html</t>
  </si>
  <si>
    <t>['150 g chou vert', '75 g pomme(s) de terre', '1 c. à café huile(s) végétale(s)', '  eau']</t>
  </si>
  <si>
    <t>Velouté de chou-fleur, poire et bleu.html</t>
  </si>
  <si>
    <t>['200 g chou-fleur', '75 g poire(s)', '10 g bleu']</t>
  </si>
  <si>
    <t>Velouté de chou-rave à la ciboulette.html</t>
  </si>
  <si>
    <t>['150 g chou-rave', '75 g pomme(s) de terre', '1 c. à café huile(s) végétale(s)', '  citron(s)', '  ciboulette']</t>
  </si>
  <si>
    <t>Velouté de courge butternut au lait de coco.html</t>
  </si>
  <si>
    <t>['180 g butternut', '2 c. à soupe lait de coco', '30 mL eau']</t>
  </si>
  <si>
    <t>Velouté de courge, carotte, pomme et gingembre.html</t>
  </si>
  <si>
    <t>['1  pomme(s)', '75 g courge', '75 g carotte(s)', '1 cm gingembre frais', '1 c. à café huile(s) végétale(s)']</t>
  </si>
  <si>
    <t>Velouté de courgettes, concombre et fromage de brebis.html</t>
  </si>
  <si>
    <t>['100 g pomme(s) de terre', '100 g courgette(s)', '100 g concombre', '20 g fromage de brebis frais', "1 c. à café huile d'olive", '1 feuilles menthe']</t>
  </si>
  <si>
    <t>Velouté de fèves et courgettes au basilic​.html</t>
  </si>
  <si>
    <t>['60 g fèves ', '150 g courgette(s)', '20 g fromage frais', '1 feuilles basilic', '1 c. à café huile(s) végétale(s)']</t>
  </si>
  <si>
    <t>Velouté de melon au fromage frais et basilic.html</t>
  </si>
  <si>
    <t>['200 g melon', '20 g fromage frais', '1 feuilles basilic', '1 c. à café huile(s) végétale(s)']</t>
  </si>
  <si>
    <t>Velouté de panais aux noisettes.html</t>
  </si>
  <si>
    <t>['140 g panais', '50 g pomme(s) de terre', '1 c. à café huile(s) végétale(s)', '20 g noisettes en poudre']</t>
  </si>
  <si>
    <t>Velouté de panais et champignons à l’ail.html</t>
  </si>
  <si>
    <t>['100 g panais', '100 g champignons', '½ gousse ail', '½  oignon(s)', "1 c. à café huile d'olive"]</t>
  </si>
  <si>
    <t>Velouté de petits pois à l’aneth.html</t>
  </si>
  <si>
    <t>['150 g petits pois', '1 c. à soupe crème', '1 pincée aneth']</t>
  </si>
  <si>
    <t>Velouté de petits pois et asperges à la menthe.html</t>
  </si>
  <si>
    <t>['80 g petits pois', '100 g asperge(s) verte(s)', 'quelques feuilles menthe', '1 c. à café huile(s) végétale(s)', '50 mL eau']</t>
  </si>
  <si>
    <t>Velouté de poireau et panais.html</t>
  </si>
  <si>
    <t>['100 g panais', '100 g poireau(x)', '1 pincée persil', '1 c. à café huile(s) végétale(s)']</t>
  </si>
  <si>
    <t>Velouté de poireaux à l’avoine.html</t>
  </si>
  <si>
    <t>['100 g poireau(x)', "20 g flocons d'avoine", '75 mL lait', '1 c. à café huile(s) végétale(s)']</t>
  </si>
  <si>
    <t>Velouté de poireaux et pomme de terre à la ciboulette.html</t>
  </si>
  <si>
    <t>['75 g pomme(s) de terre', '120 g poireau(x)', '1 c. à café huile(s) végétale(s)', '  ciboulette']</t>
  </si>
  <si>
    <t>Velouté de potimarron au curry.html</t>
  </si>
  <si>
    <t>['250 g potimarron', '50 mL lait de coco', '1 à 2 pincée(s) curry', '  coriandre']</t>
  </si>
  <si>
    <t>Velouté de potimarron et lentilles corail.html</t>
  </si>
  <si>
    <t>['150 g potimarron', '20 g lentilles corail', '1 c. à café huile(s) végétale(s)', '1 pincée(s) curry']</t>
  </si>
  <si>
    <t>Velouté de potiron et maïs crémeux.html</t>
  </si>
  <si>
    <t>['180 g potiron', '60 g maïs', '  lait', '1 c. à café huile(s) végétale(s)']</t>
  </si>
  <si>
    <t>Velouté de topinambour.html</t>
  </si>
  <si>
    <t>['200 g topinambour(s)', '60 g pomme(s) de terre', '1 c. à café huile(s) végétale(s)']</t>
  </si>
  <si>
    <t>Velouté vert tout frais, et nuggets de poisson aux poivrons.html</t>
  </si>
  <si>
    <t>['100 g pomme(s) de terre', '80 g courgette(s)', '80 g concombre', '10 g fromage de brebis frais', "1 c. à café huile d'olive", '1 feuilles menthe', '30 g poivron(s) rouge(s)', '15 g poisson blanc', '  chapelure']</t>
  </si>
  <si>
    <t>Verrine façon tarte moelleuse à l’avoine et courgette.html</t>
  </si>
  <si>
    <t>['30 g flocons d’avoine', '50 mL lait d’amandes', '150 g courgette(s)', '1 c. à café huile(s) végétale(s)']</t>
  </si>
  <si>
    <t>Verrines de purée de potimarron aux châtaignes.html</t>
  </si>
  <si>
    <t>['160 g potimarron', '3  châtaignes']</t>
  </si>
  <si>
    <t>Wrap de légumes au saumon.html</t>
  </si>
  <si>
    <t>['1  galette(s) de blé', '70 g carotte(s)', '70 g courgette(s)', '20 g saumon', '1 c. à café huile(s) végétale(s)']</t>
  </si>
  <si>
    <t>Fleurettes de brocoli et riz blanc, sauce au yaourt et aneth.html</t>
  </si>
  <si>
    <t>['1  brocoli', '150 g riz', '1  yaourt nature', '1 c. à soupe huile(s) végétale(s)', '  aneth']</t>
  </si>
  <si>
    <t>Nouilles sautées au brocoli (pour bébé et toute la famille).html</t>
  </si>
  <si>
    <t>['1  brocoli', '2  carotte(s)', '1  oignon(s)', '150 g nouilles Soba', '2 c. à soupe huile de sésame', '1 c. à soupe sauce soja', '1 c. à soupe graines de sésame', '  gingembre', '  herbes aromatiques']</t>
  </si>
  <si>
    <t>Crumble de brocoli et tomates.html</t>
  </si>
  <si>
    <t>['1  brocoli', '200 g tomate(s)', '100 g farine', "30 g poudre d'amandes", "30 g huile d'olive", '80 g feta']</t>
  </si>
  <si>
    <t>Pâtes à la crème de brocoli.html</t>
  </si>
  <si>
    <t>['1  brocoli', '250 g pâtes', '70 g parmesan', "1 c. à soupe huile d'olive", '1 c. à soupe crème fraîche', '1 gousse(s) ail', '  basilic', '  sel, poivre']</t>
  </si>
  <si>
    <t>Flan aux brocolis (pour bébé et toute la famille).html</t>
  </si>
  <si>
    <t>['1  brocoli', '4  oeuf(s)', '4 c. à soupe farine', '4 c. à soupe crème fraîche', '30 g parmesan', '1 bouquet basilic']</t>
  </si>
  <si>
    <t>Gratin de gnocchis au brocoli.html</t>
  </si>
  <si>
    <t>['1  brocoli', '400 g gnocchis', '20 cL crème', '  fromage râpé']</t>
  </si>
  <si>
    <t>Poêlée de brocoli au sésame et sauce soja, mélange de riz et lentilles.html</t>
  </si>
  <si>
    <t>['1  brocoli', '75 g riz', '75 g lentilles vertes', '  graines de sésame', '  sauce soja', '  huile d’olive', '½  citron(s)']</t>
  </si>
  <si>
    <t>Butternut farci au riz et à la feta.html</t>
  </si>
  <si>
    <t>['1  butternut', '1  salade verte', '40 cL bouillon de légumes', '150 g riz pour risotto', '100 g feta', '1  échalote(s)', "2 c. à soupe huile d'olive", '½ c. à café origan', '  sel, poivre', '  persil']</t>
  </si>
  <si>
    <t>Velouté de butternut, patates douces, coriandre et curcuma (pour bébé et toute la famille).html</t>
  </si>
  <si>
    <t>['1  butternut', '2 à 3  patate(s) douce(s)', '1 bouquet coriandre', '1 c. à soupe curcuma', '2 c. à soupe huile(s) végétale(s)']</t>
  </si>
  <si>
    <t>Courge butternut rôtie aux amandes (pour bébé et toute la famille).html</t>
  </si>
  <si>
    <t>['1  butternut', '30 g amandes', '3 pincée(s) thym', '3 c. à soupe huile d’olive']</t>
  </si>
  <si>
    <t>Velouté de chou-fleur, poire et bleu.html</t>
  </si>
  <si>
    <t>['1  chou-fleur', '3  poire(s)', '50 g fromage bleu', '1  pain de campagne']</t>
  </si>
  <si>
    <t>Burger végétarien à la courgette, pois chiches et brie.html</t>
  </si>
  <si>
    <t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</si>
  <si>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>Riz aux légumes d’été.html</t>
  </si>
  <si>
    <t>['1  courgette(s)', '1  poivron(s)', '2  tomate(s)', '1  oignon(s)', '150 g riz', '2 feuilles basilic', "  huile d'olive"]</t>
  </si>
  <si>
    <t>Pâtes au pesto de courgette, roquette et basilic.html</t>
  </si>
  <si>
    <t>['1  courgette(s)', '40 g roquette', '250 g pâtes', '1 bouquet basilic', '1 poignée pignons de pin', '20 g parmesan', "  huile d'olive"]</t>
  </si>
  <si>
    <t>Magret de canard à l’orange et haricots verts (pour bébé et la famille).html</t>
  </si>
  <si>
    <t>['1  magret de canard', '300 g haricots verts', '6 à 8  pomme(s) de terre', '1  orange(s)', '1 c. à soupe miel', '1 c. à soupe vinaigre', '1 c. à café huile(s) végétale(s)', '  sel, poivre']</t>
  </si>
  <si>
    <t>Salade estivale au melon.html</t>
  </si>
  <si>
    <t>['1  melon', '1  concombre', '300 g tomates cerises', '1  mozzarella', '3 feuilles basilic', '2 c. à soupe huile(s) végétale(s)', '1  pain']</t>
  </si>
  <si>
    <t>Pizza aux légumes (pour bébé et toute la famille).html</t>
  </si>
  <si>
    <t>['1  pâte à pizza', '200 g coulis de tomates', '100 g tomates cerises', '1  aubergine(s)', '1  mozzarella', '  origan', '  huile d’olive']</t>
  </si>
  <si>
    <t>Pizza lion à la carotte.html</t>
  </si>
  <si>
    <t>['1  pâte à pizza', '250 g carotte(s)', '10 cL coulis de tomates', '  fromage râpé', '  basilic', '1  tomates cerises', '1  haricots rouges', '1  champignon']</t>
  </si>
  <si>
    <t>Tarte salée aux carottes et chou rouge.html</t>
  </si>
  <si>
    <t>['1  pâte brisée', '¼  chou-rouge', '2  carotte(s)', '3  oeuf(s)', '200 mL crème liquide', '100 mL lait', '3 pincée(s) muscade moulue', '1 pincée(s) cannelle', '  salade verte', '  sel, poivre']</t>
  </si>
  <si>
    <t>Quiche aux petits pois.html</t>
  </si>
  <si>
    <t>['1  pâte brisée', '200 g petits pois', '1  salade verte', '200 mL lait', '200 mL crème liquide', '3  oeuf(s)', '50 g emmental râpé', '2 pincée(s) muscade moulue', '  sel, poivre']</t>
  </si>
  <si>
    <t>Pissaladière au fenouil (pour bébé et toute la famille).html</t>
  </si>
  <si>
    <t>['1  pâte brisée', '3 à 4 bulbe(s) fenouil', '5 filets anchois', '1  oignon(s)', '1 gousse(s) ail', '50 g olives noires', '1 c. à café herbes de Provence', '4 c. à soupe huile d’olive', '1 petite pomme de terre']</t>
  </si>
  <si>
    <t>Tarte salée mâche ricotta.html</t>
  </si>
  <si>
    <t>['1  pâte brisée', '4  oeuf(s)', '200 g ricotta', '100 g mâche', '50 g emmental râpé', '  ciboulette', '  sel, poivre']</t>
  </si>
  <si>
    <t>Quiche aux courgettes et fromage de chèvre.html</t>
  </si>
  <si>
    <t>['1  pâte brisée', '400 g courgette(s)', '200 mL crème liquide', '200 mL lait', '3  oeuf(s)', '100 g fromage de chèvre', '1  salade verte', '1 pincée muscade moulue', '  sel, poivre']</t>
  </si>
  <si>
    <t>Tarte rustique au chou rouge, pommes et carottes (pour bébé et toute la famille).html</t>
  </si>
  <si>
    <t>['1  pâte brisée', '500 g chou rouge', '250 g carotte(s)', '2  pomme(s)', '1  citron(s)', '1 poignée noix', '50 g fromage de chèvre', '1 pincée bicarbonate de soude alimentaire', '2 c. à soupe huile d’olive']</t>
  </si>
  <si>
    <t>Quiche aux asperges (pour bébé et toute la famille).html</t>
  </si>
  <si>
    <t>['1  pâte feuilletée', '1 botte(s) asperge(s)', '180 g petits pois', '3  oeuf(s)', '80 g feta', '150 mL lait', '  herbes aromatiques', '  huile(s) végétale(s)']</t>
  </si>
  <si>
    <t>Tarte tatin au fenouil.html</t>
  </si>
  <si>
    <t>['1  pâte feuilletée', '2  fenouil', '6  oignons nouveaux', '2 c. à soupe moutarde douce', '2 c. à soupe sauce soja', '1 c. à soupe vinaigre balsamique', '  sel, poivre', '  salade verte']</t>
  </si>
  <si>
    <t>['1  poireau(x)', '250 g navet(s)', '250 g pomme(s) de terre', '150 g carotte(s)', '  herbes aromatiques', '  huile(s) végétale(s)']</t>
  </si>
  <si>
    <t>Pâtes à la sauce arrabiata (aux poivrons rouges).html</t>
  </si>
  <si>
    <t>['1  poivron(s) rouge(s)', '500 g tomate(s)', '1  oignon(s)', '1 gousse ail', '250 g pâtes', '  basilic', "  huile d'olive", '  piment']</t>
  </si>
  <si>
    <t>Potimarron rôti aux épices, fêta et grenade.html</t>
  </si>
  <si>
    <t>['1  potimarron', '1  grenade', '100 g feta', '2 c. à soupe huile d’olive', '1 c. à soupe coriandre', '½ c. à café cumin', '½ c. à café paprika']</t>
  </si>
  <si>
    <t>Crumble au potimarron et noisettes (pour bébé et toute la famille).html</t>
  </si>
  <si>
    <t>['1  potimarron', '1  oignon(s)', '50 g noisettes en poudre', '50 g parmesan', '50 g farine', '50 g beurre', "1 c. à soupe huile d'olive"]</t>
  </si>
  <si>
    <t>Potimarron rôti aux épices et boulgour.html</t>
  </si>
  <si>
    <t>['1  potimarron', '130 g pois chiches', '100 g boulgour', '100 g yaourt grec', '½  citron(s)', "2 c. à soupe huile d'olive", '½ c. à café cumin', '½ c. à café paprika', '  herbes aromatiques']</t>
  </si>
  <si>
    <t>Potimarron farci aux champignons et aux châtaignes.html</t>
  </si>
  <si>
    <t>['1  potimarron', '200 g champignons', '100 g châtaignes', '1  échalote(s)', '1 gousse ail', '2 c. à soupe crème fraîche', "1 c. à soupe huile d'olive", '1  salade verte']</t>
  </si>
  <si>
    <t>Mon premier gâteau d’anniversaire (poisson marbré).html</t>
  </si>
  <si>
    <t>['1  yaourt nature', '1 pot(s) sucre', '1 pot(s) compote de pommes', '2  oeuf(s)', '3 pot(s) farine', '1 c. à soupe cacao en poudre', '1 sachet(s) poudre à lever', '½ pot(s) huile(s) végétale(s)', '1  poire(s)', '1  petit-suisse']</t>
  </si>
  <si>
    <t>Tartelettes aux courgettes, basilic, pignons et feta.html</t>
  </si>
  <si>
    <t>['1 à 2  courgette(s)', '150 g farine semi-complète', '50 g feta', '1 poignée pignons de pin', '  basilic', '  huile(s) végétale(s)', '  salade verte']</t>
  </si>
  <si>
    <t>Houmous pour bébé et grands.html</t>
  </si>
  <si>
    <t>['1 boîte pois chiches', '2 c. à soupe huile d’olive', '1 c. à soupe tahin', '1 c. à café cumin', '  persil']</t>
  </si>
  <si>
    <t>Riz cajun aux haricots rouges.html</t>
  </si>
  <si>
    <t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</si>
  <si>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>Polenta crémeuse et asperges vertes.html</t>
  </si>
  <si>
    <t>['1 botte asperge(s) verte(s)', '125 g polenta', '10 cL crème fraîche', '  poivre', '  noisettes', '  huile(s) végétale(s)']</t>
  </si>
  <si>
    <t>Risotto aux asperges et parmesan.html</t>
  </si>
  <si>
    <t>['1 botte asperge(s) verte(s)', '150 g riz pour risotto', '1  oignon(s)', '50 g parmesan', '1 cube(s) bouillon cube de légumes']</t>
  </si>
  <si>
    <t>Gratin de blettes (pour bébé et toute la famille).html</t>
  </si>
  <si>
    <t>['1 botte(s) blettes', '250 g pomme(s) de terre', '20 g beurre', '20 g farine', '250 mL lait', '1 pincée(s) muscade moulue', '50 g fromage râpé']</t>
  </si>
  <si>
    <t>Soupe de légumes au butternut, patate douce et poireau.html</t>
  </si>
  <si>
    <t>['1 kg butternut', '300 g patate(s) douce(s)', '1  poireau(x)', '1 poignée noisettes', '2 c. à soupe huile(s) végétale(s)']</t>
  </si>
  <si>
    <t>Ceviche de cabillaud et patates douces (pour bébé et toute la famille).html</t>
  </si>
  <si>
    <t>['1 kg patate(s) douce(s)', '300 g dos de cabillaud', '½  oignon(s) rouge(s)', '1 bouquet coriandre', '5  citron(s) vert(s)', '2 c. à soupe huile d’olive', '2 pincée(s) piment d’Espelette', '  sel']</t>
  </si>
  <si>
    <t>Risotto aux champignons.html</t>
  </si>
  <si>
    <t>['1 L bouillon de légumes', '400 g champignons', '250 g riz pour risotto', '25 cL crème fraîche', '50 g parmesan', '20 g beurre', "1 c. à soupe huile d'olive", '2  échalote(s)', '1 gousse(s) ail', '  persil']</t>
  </si>
  <si>
    <t>Soupe de carottes aux lentilles corail.html</t>
  </si>
  <si>
    <t>['1 L bouillon de légumes', '800 g carotte(s)', '200 g lentilles corail', '20 cL lait de coco', '1  oignon(s)', '1 gousse(s) ail', '1 c. à soupe huile(s) végétale(s)', '1 c. à café curry', '1 c. à café cumin', '  coriandre', '  sel, poivre']</t>
  </si>
  <si>
    <t>Dahl de butternut et lentilles corail (pour bébé et toute la famille).html</t>
  </si>
  <si>
    <t>['1 petit butternut', '100 g lentilles corail', '1  oignon(s)', '250 g riz', '100 mL lait de coco', '2 c. à soupe concentré de tomates', '  huile d’olive', '1 cm gingembre', '½ c. à café cumin', '½ c. à café curry', '  coriandre']</t>
  </si>
  <si>
    <t>Polenta et butternut rôti au four.html</t>
  </si>
  <si>
    <t>['½  butternut', '150 g polenta', '  huile d’olive', '  cumin']</t>
  </si>
  <si>
    <t>Velouté de butternut carottes et poireaux.html</t>
  </si>
  <si>
    <t>['½  butternut', '2  pomme(s) de terre', '2  carotte(s)', '1  poireau(x)', '20 g beurre', '1 cube bouillon de légumes', '  crème fraîche']</t>
  </si>
  <si>
    <t>Hachis Parmentier végétarien au butternut et lentilles.html</t>
  </si>
  <si>
    <t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</si>
  <si>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>Boulettes aux lentilles vertes, riz et butternut rôti.html</t>
  </si>
  <si>
    <t>['½  butternut', '75 g riz', '75 g lentilles', '1 petit oignon', '1 c. à soupe farine', '  chapelure', '  cumin', '  huile d’olive']</t>
  </si>
  <si>
    <t>Risotto de céleri et châtaignes (pour bébé et toute la famille).html</t>
  </si>
  <si>
    <t>['½  céleri-rave', '150 g châtaignes', '20 cL crème', '50 g parmesan', '  mâche', '1 c. à café moutarde douce', '2 c. à soupe vinaigre', '3 c. à soupe huile(s) végétale(s)', '  sel, poivre']</t>
  </si>
  <si>
    <t>Velouté au chou frisé et croûtons à l’huile d’olive.html</t>
  </si>
  <si>
    <t>['½  chou vert', '2  pomme(s) de terre', '1 L bouillon de légumes', '40 mL lait de coco', '2 pincée(s) paprika', '  persil', '3 tranches pain', '1 c. à café huile d’olive']</t>
  </si>
  <si>
    <t>Caldo verde (soupe portugaise au chou frisé).html</t>
  </si>
  <si>
    <t>['½  chou vert', '2  pomme(s) de terre', '2  saucisses', '1,5 L bouillon de légumes', '  persil']</t>
  </si>
  <si>
    <t>Curry de chou-fleur aux lentilles corail, riz.html</t>
  </si>
  <si>
    <t>['½  chou-fleur', '1  carotte', '50 g lentilles corail', '150 g riz', '20 cL lait de coco', '  curry', '  coriandre']</t>
  </si>
  <si>
    <t>Chou fleur rôti au paprika.html</t>
  </si>
  <si>
    <t>['½  chou-fleur', '150 g riz', '30 g parmesan', '20 g farine', "3 c. à soupe huile d'olive", '1 c. à café paprika', '  sel, poivre', '  coriandre']</t>
  </si>
  <si>
    <t>Sandwich aux boulettes de chou-fleur et lentilles.html</t>
  </si>
  <si>
    <t>['½  chou-fleur', '40 g lentilles corail', '150 g carotte(s)', '100 g farine', '3 c. à soupe huile d’olive', '  curry', '  mâche', '  fromage de chèvre']</t>
  </si>
  <si>
    <t>Salade de tomates, pêche, melon et burrata.html</t>
  </si>
  <si>
    <t>['½  melon', '250 g tomates cerises', '100 g salade verte', '2  burrata', '1  pêche(s) jaune(s)', "2 c. à soupe huile d'olive", '1 c. à soupe vinaigre balsamique', '  basilic', '  sel, poivre']</t>
  </si>
  <si>
    <t>Risotto au potimarron, comté et romarin (pour bébé et toute la famille).html</t>
  </si>
  <si>
    <t>['½  potimarron', '150 g riz pour risotto', '50 g comté', '1  oignon(s)', '2 c. à soupe huile d’olive', '3 branche(s) romarin', '1  bouillon cube de légumes', '  sel, poivre']</t>
  </si>
  <si>
    <t>Lentilles vertes et potimarron façon hachis Parmentier (pour bébé et toute la famille).html</t>
  </si>
  <si>
    <t>['½  potimarron', '200 g carotte(s)', '80 g lentilles vertes', '1  oignon(s) jaune(s)', '1 gousse(s) ail', '  huile d’olive', '  cumin', '  muscade moulue']</t>
  </si>
  <si>
    <t>Soupe chinoise aux légumes et vermicelles.html</t>
  </si>
  <si>
    <t>['¼  chou chinois', '125 g champignons', '125 g carotte(s)', '20 g vermicelles de soja', '  coriandre', '  gingembre', '  sauce soja', '  huile(s) végétale(s)']</t>
  </si>
  <si>
    <t>Tarte fine au chou rouge et fourme d’Ambert.html</t>
  </si>
  <si>
    <t>['¼  chou rouge', "100 g fourme d'Ambert", '3 c. à soupe crème fraîche', '1 c. à soupe huile d’olive', '200 g farine', '72 g huile(s) végétale(s)', '80 mL eau chaude']</t>
  </si>
  <si>
    <t>Crumble pêches abricots.html</t>
  </si>
  <si>
    <t>['100 g abricot(s)', '100 g pêche(s)', '100 g compote de pommes', "50 g flocons d'avoine", '50 g beurre', "50 g poudre d'amandes", '30 g farine de riz', '30 g sirop de dattes']</t>
  </si>
  <si>
    <t>Salade de quinoa à la grecque.html</t>
  </si>
  <si>
    <t>['100 g quinoa', '1  concombre', '200 g tomates cerises', '200 g feta', '100 g pois chiches', '100 g yaourt grec', '1  oignon(s) rouge(s)', '½  citron(s)', '  sel, poivre']</t>
  </si>
  <si>
    <t>Quinoa chili.html</t>
  </si>
  <si>
    <t>['100 g quinoa', '250 g haricots rouges', '150 g maïs', '400 g tomates concassées', '1  oignon(s)', "  huile d'olive", '  cumin', '  coriandre']</t>
  </si>
  <si>
    <t>Riz cantonais végétarien (pour bébé et toute la famille).html</t>
  </si>
  <si>
    <t>['100 g riz', '150 g petits pois', '250 g carotte(s)', '100 g maïs', '2  oeuf(s)', '2  échalote(s)', '1 c. à café coriandre', '1 c. à soupe sauce soja', '2 c. à soupe huile d’olive']</t>
  </si>
  <si>
    <t>Salade de riz à la grecque.html</t>
  </si>
  <si>
    <t>['100 g riz', '250 g tomates cerises', '1  concombre', '150 g olives', '100 g feta', '½  oignon(s) rouge(s)', '  origan', '  huile d’olive']</t>
  </si>
  <si>
    <t>Salade de riz à la niçoise (pour bébé et toute la famille).html</t>
  </si>
  <si>
    <t>['100 g riz', '3  tomate(s)', '1  poivron(s) vert(s)', '1  concombre', '100 g févettes écossées', '1 poignée(s) olives noires', '2  oignon(s) nouveau(x)', '1 gousse(s) ail', '  thon', '  basilic', '  huile d’olive']</t>
  </si>
  <si>
    <t>Taboulé (pour bébé et toute la famille).html</t>
  </si>
  <si>
    <t>['100 g semoule de couscous', '3  tomate(s)', '1  concombre', '1  poivron(s) jaune(s)', '1 poignée(s) raisins secs', '½  citron', '2 c. à soupe huile d’olive', '1 bouquet menthe', '  sel, poivre']</t>
  </si>
  <si>
    <t>Lasagnes végétariennes aux légumes (pour bébé et toute la famille).html</t>
  </si>
  <si>
    <t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</si>
  <si>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>Croquettes de millet aux légumes (pour bébé et toute la famille).html</t>
  </si>
  <si>
    <t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</si>
  <si>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>Polenta crémeuse aux cèpes.html</t>
  </si>
  <si>
    <t>['120 g polenta', '50 g cèpes', '½  oignon(s)', '2 c. à soupe huile d’olive']</t>
  </si>
  <si>
    <t>Galettes bretonnes aux poireaux (pour bébé et toute la famille).html</t>
  </si>
  <si>
    <t>['125 g farine de sarrasin', '300 mL eau', '2 c. à soupe huile(s) végétale(s)', '3  poireau(x)', '½  camembert', '30 g beurre', '  poivre']</t>
  </si>
  <si>
    <t>Galettes de betterave, haricots rouge et avoine et frites de patate douce.html</t>
  </si>
  <si>
    <t>['150 g betterave(s)', '125 g haricots rouges', "50 g flocons d'avoine", '1 petit oignon', '500 g patate(s) douce(s)', '  paprika', '  cumin', '  huile d’olive']</t>
  </si>
  <si>
    <t>Salade de lentilles corail au chou kale.html</t>
  </si>
  <si>
    <t>['150 g chou kale', '150 g lentilles corail', '1  avocat(s)', '60 g feta', '30 g noix de pécan', '2 c. à soupe huile d’olive', '½  citron vert']</t>
  </si>
  <si>
    <t>Tarte à la rhubarbe.html</t>
  </si>
  <si>
    <t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</si>
  <si>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>Conchiglioni épinards et ricotta (pour bébé et toute la famille).html</t>
  </si>
  <si>
    <t>['150 g pâtes à farcir', '400 g épinards', '200 g ricotta', '200 g coulis de tomates', '5 feuilles basilic', '20 g parmesan', "  huile d'olive", '  sel, poivre']</t>
  </si>
  <si>
    <t>Frites de polenta et brocolis.html</t>
  </si>
  <si>
    <t>['150 g polenta', '1  brocoli', '40 g parmesan', '  épices', '1 cube bouillon cube de légumes']</t>
  </si>
  <si>
    <t>Tarte polenta aux épinards et tomates cerises.html</t>
  </si>
  <si>
    <t>['150 g polenta', '250 g épinards', '100 g tomates cerises', '20 cL coulis de tomates', '50 g fromage râpé', '1 cube bouillon cube de légumes']</t>
  </si>
  <si>
    <t>['150 g polenta', '500 g carotte(s)', '  huile(s) végétale(s)', '  cumin']</t>
  </si>
  <si>
    <t>Polenta façon pizza familiale (sans gluten).html</t>
  </si>
  <si>
    <t>['150 g polenta', '60 cL eau', '20 cL coulis de tomates', '5  champignons de Paris', '2 tranche(s) jambon blanc', '50 g fromage râpé', '1 poignée(s) tomates cerises', '  herbes aromatiques', '  huile d’olive']</t>
  </si>
  <si>
    <t>Soupe aux légumes d’automne.html</t>
  </si>
  <si>
    <t>['150 g potimarron', '100 g carotte(s)', '100 g pomme(s) de terre', '½  oignon(s)', '40 g lait de coco', '1 c. à soupe huile(s) végétale(s)', '1 pincée(s) paprika', '  persil']</t>
  </si>
  <si>
    <t>Quinoa printanier.html</t>
  </si>
  <si>
    <t>['150 g quinoa', '250 g carotte(s)', '½  concombre', '1 poignée raisins secs', '1 bouquet menthe', '1  citron(s)', '  huile(s) végétale(s)']</t>
  </si>
  <si>
    <t>Risotto au fromage de chèvre et potimarron.html</t>
  </si>
  <si>
    <t>['150 g riz pour risotto', '150 g potimarron', '1 L bouillon de légumes', '½  oignon(s)', '30 g fromage de chèvre', '1 c. à soupe huile(s) végétale(s)', '  persil']</t>
  </si>
  <si>
    <t>Risotto de courgettes au curry.html</t>
  </si>
  <si>
    <t>['150 g riz pour risotto', '50 cL bouillon de légumes', '2  courgette(s)', '20 cL lait de coco', '2  échalote(s)', "1 c. à soupe huile d'olive", '1 c. à café curry', '  parmesan']</t>
  </si>
  <si>
    <t>Risotto à la betterave (pour bébé et toute la famille).html</t>
  </si>
  <si>
    <t>['150 g riz pour risotto', '500 g betterave(s)', '1  oignon(s)', '½  bûche de fromage de chèvre', '2 c. à soupe huile d’olive', '5 brin(s) ciboulette', '  sel, poivre']</t>
  </si>
  <si>
    <t>Risotto courgettes, petits pois et menthe (pour bébé et toute la famille).html</t>
  </si>
  <si>
    <t>['150 g riz pour risotto', '500 g courgette(s)', '150 g petits pois', '1  oignon(s)', '  menthe', '  huile d’olive', '  sel, poivre']</t>
  </si>
  <si>
    <t>Riz sauté au chou chinois, champignons, carotte et sésame.html</t>
  </si>
  <si>
    <t>['150 g riz', '¼  chou chinois', '125 g champignons', '150 g carotte(s)', '  graines de sésame', '  gingembre', '  coriandre', '  sauce soja', '  huile d’olive']</t>
  </si>
  <si>
    <t>Riz sauté aux petits légumes.html</t>
  </si>
  <si>
    <t>['150 g riz', '100 g petits pois', '2  carotte(s)', '1  oignon(s)', '50 g champignons', '2 c. à soupe sauce soja', '1 c. à soupe huile(s) végétale(s)']</t>
  </si>
  <si>
    <t>Poke bowl au riz, chou-rouge, céleri et potiron rôti, avocat.html</t>
  </si>
  <si>
    <t>['150 g riz', '150 g chou rouge', '300 g céleri-rave', '300 g potiron', '1  avocat', '  huile d’olive', '  huile de colza', '  sauce soja', '  graines de sésame']</t>
  </si>
  <si>
    <t>['150 g riz', '200 g petits pois', '280 g carotte(s)', '250 g navet(s)', '  huile(s) végétale(s)', '  herbes aromatiques']</t>
  </si>
  <si>
    <t>Salade de riz, endive, maïs, bleu et noix.html</t>
  </si>
  <si>
    <t>['150 g riz', '250 g endive(s)', '125 g maïs', '50 g fromage bleu', '1 poignée noix', '  ciboulette', '  vinaigrette']</t>
  </si>
  <si>
    <t>Polenta aux aubergines rôties.html</t>
  </si>
  <si>
    <t>['2  aubergine(s)', '150 g polenta', '250 mL lait', "  huile d'olive", '½ cube bouillon cube de légumes']</t>
  </si>
  <si>
    <t>Tian aux légumes d’été (pour bébé et toute la famille).html</t>
  </si>
  <si>
    <t>['2  aubergine(s)', '2  courgette(s)', '4  tomate(s)', '1  oignon(s)', "2 c. à soupe huile d'olive", '  herbes de Provence']</t>
  </si>
  <si>
    <t>Tajine végétarien aux légumes d’été et olives.html</t>
  </si>
  <si>
    <t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</si>
  <si>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>Aubergines à la parmigiana.html</t>
  </si>
  <si>
    <t>['2  aubergine(s)', '400 g tomate(s)', '1  oignon(s)', '1 gousse ail', '1  mozzarella', '50 g parmesan', '  huile d’olive']</t>
  </si>
  <si>
    <t>Moussaka végétarienne.html</t>
  </si>
  <si>
    <t>['2  aubergine(s)', '500 g pomme(s) de terre', '300 g tomates', '½  oignon(s)', '1 gousse ail', '250 g lentilles', '  herbes de Provence', "2 c. à soupe huile d'olive", '25 g farine', '250 mL lait', '  muscade moulue']</t>
  </si>
  <si>
    <t>Bo-bun facile (aux nems maison).html</t>
  </si>
  <si>
    <t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</si>
  <si>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>Gaspacho de concombre et tartines.html</t>
  </si>
  <si>
    <t>['2  concombre', '1 tige(s) ciboule', '1 gousse ail', '½  citron', '1 poignée menthe', '2 c. à soupe huile d’olive', '  sel, poivre', '1  pain de campagne', '  fromage frais', '  tomates séchées']</t>
  </si>
  <si>
    <t>Cake courgette menthe (à la farine de pois chiches).html</t>
  </si>
  <si>
    <t>['2  courgette(s)', '150 g farine', '100 g farine de pois chiches', '3  oeuf(s)', '150 mL lait', '80 g fromage râpé', "3 c. à soupe huile d'olive", '1 bouquet menthe']</t>
  </si>
  <si>
    <t>Ratatouille et ses petits grains de blé.html</t>
  </si>
  <si>
    <t>['2  courgette(s)', '3  tomate(s)', '1  aubergine(s)', '1  poivron(s) rouge(s)', '1  oignon(s)', "  huile d'olive", '1  feuille(s) de laurier', '2 branche(s) thym', '150 g blé']</t>
  </si>
  <si>
    <t>Chakchouka de courgette.html</t>
  </si>
  <si>
    <t>['2  courgette(s)', '400 g tomates concassées', '1  poivron(s) rouge(s)', '3  oeuf(s)', '1  échalote(s)', "2 c. à soupe huile d'olive", '1 c. à café paprika', '  sel, poivre', '  pain pita']</t>
  </si>
  <si>
    <t>Cabillaud à la crème de petits pois et brocolis (pour bébé et toute la famille).html</t>
  </si>
  <si>
    <t>['2  dos de cabillaud', '300 g petits pois', '300 g brocoli', '½  citron(s)', '1 c. à café aneth', '1 c. à soupe huile d’olive']</t>
  </si>
  <si>
    <t>Roulés de dinde farcis aux marrons et purée de potimarron patate douce (Recette de Noël).html</t>
  </si>
  <si>
    <t>['2  escalope(s) de dinde', '50 g champignons de Paris', '50 g châtaignes', '1  échalote(s)', "1 c. à soupe huile d'olive", '  persil', '1  patate(s) douce(s)', '½  potimarron', '2 c. à soupe huile de colza']</t>
  </si>
  <si>
    <t>Tarte feuilletée au fenouil, pomme, noix et chèvre frais.html</t>
  </si>
  <si>
    <t>['2  fenouil', '2  pomme(s)', '1  pâte feuilletée', '1 poignée noix', '  fromage frais']</t>
  </si>
  <si>
    <t>Verrines de yaourt grec au muesli et nectarine.html</t>
  </si>
  <si>
    <t>['2  nectarine(s)', '300 g yaourt grec', '150 g muesli', '1 poignée baies de goji']</t>
  </si>
  <si>
    <t>Bûche de Noël (pour bébé et toute la famille).html</t>
  </si>
  <si>
    <t>['2  oeuf(s)', '60 g sucre', '60 g farine', '30 g beurre', '1 c. à café poudre à lever', '150 g compote de fruits', '2  petit-suisse(s)']</t>
  </si>
  <si>
    <t>Burger végétarien à la betterave (pour bébé et toute la famille).html</t>
  </si>
  <si>
    <t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</si>
  <si>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>Médaillons de lotte crème de panais et légumes-racines rôtis (Recette de Noël).html</t>
  </si>
  <si>
    <t>['2  panais', '3  carotte(s)', '1  patate(s) douce(s)', '200 g lotte', '100 mL lait', '1 c. à café herbes aromatiques', '1 gousse(s) ail', '1 c. à soupe farine', '2 c. à soupe huile d’olive', '20 g beurre', '1  citron(s)']</t>
  </si>
  <si>
    <t>Patates douces farcies à la mexicaine.html</t>
  </si>
  <si>
    <t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</si>
  <si>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>Velouté de légumes.html</t>
  </si>
  <si>
    <t>['2  poireau(x)', '2  navet(s)', '5  pomme(s) de terre', '5  carotte(s)', '20 g beurre', '1  bouillon cube de légumes', '  sel, poivre', '  pain', '  fromage frais']</t>
  </si>
  <si>
    <t>Tartelettes aux poireaux et bleu.html</t>
  </si>
  <si>
    <t>['2  poireau(x)', '2  oeuf(s)', '50 g fromage bleu', '200 g farine', '72 g huile d’olive', '80 mL eau chaude']</t>
  </si>
  <si>
    <t>Croque-monsieur aux poireaux (pour bébé et toute la famille).html</t>
  </si>
  <si>
    <t>['2  poireau(x)', '2 tranche(s) jambon blanc', '4 tranche(s) pain de mie', '60 g emmental', '2 c. à soupe huile(s) végétale(s)']</t>
  </si>
  <si>
    <t>['2  poireau(x)', '200 g riz', '100 g champignons de Paris', '100 g crème fraîche', '1  oignon(s)', '1 c. à soupe moutarde douce', "1 filet huile d'olive", '  sel, poivre']</t>
  </si>
  <si>
    <t>Pâtes à la crème de poireaux et ricotta, noisettes concassées.html</t>
  </si>
  <si>
    <t>['2  poireau(x)', '250 g pâtes', '125 g ricotta', '  noisettes']</t>
  </si>
  <si>
    <t>Chakchouka.html</t>
  </si>
  <si>
    <t>['2  poivron(s) rouge(s)', '300 g tomate(s)', '½  oignon(s)', '1 gousse ail', '  épices', '  herbes aromatiques', '2 à 4  oeuf(s)', "  huile d'olive", '150 g riz']</t>
  </si>
  <si>
    <t>Rougail saucisses (pour bébé et toute la famille).html</t>
  </si>
  <si>
    <t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</si>
  <si>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>Artichauts vinaigrette (pour bébé et toute la famille).html</t>
  </si>
  <si>
    <t>['2 à 4  artichaut(s)', '500 g pomme(s) de terre', '1 c. à café moutarde douce', '¼ tasse vinaigre', '½ tasse huile(s) végétale(s)', '1  citron', '1  échalote', 'qq brin(s) ciboulette']</t>
  </si>
  <si>
    <t>Saumon grillé et purée de chou blanc (pour bébé et toute la famille).html</t>
  </si>
  <si>
    <t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</si>
  <si>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>Purée de carottes à l’orange et ses aiguillettes de canard (Recette de Noël).html</t>
  </si>
  <si>
    <t>['200 g aiguillette(s) de canard', '500 g carotte(s)', '2  pomme(s) de terre', '1  orange(s)', '1 c. à soupe vinaigre balsamique', '1 noix beurre', '2 c. à soupe huile de colza']</t>
  </si>
  <si>
    <t>Cake vegan aux carottes façon dahl.html</t>
  </si>
  <si>
    <t>['200 g carotte(s)', '100 g lentilles corail', "100 g flocons d'avoine", '20 cL crème de coco', '1 c. à café curry', '½ sachet(s) poudre à lever', '  graines de courges']</t>
  </si>
  <si>
    <t>Duo de muffins carottes et épinards à la ricotta.html</t>
  </si>
  <si>
    <t>['200 g carotte(s)', "200 g pousses d'épinards", '125 g ricotta', '200 g farine', '½ sachet(s) poudre à lever', '2  oeuf(s)', '100 mL lait']</t>
  </si>
  <si>
    <t>Riz et boulettes de haricots blancs aux légumes.html</t>
  </si>
  <si>
    <t>['200 g champignons', '100 g carotte(s)', '200 g haricots blancs', '150 g riz', "50 g flocons d'avoine", '20 cL coulis de tomates', '  herbes aromatiques']</t>
  </si>
  <si>
    <t>Velouté de chou kale.html</t>
  </si>
  <si>
    <t>['200 g chou kale', '200 g pomme(s) de terre', '40 mL lait de coco', '½  oignon', '½  citron(s)', '1 c. à soupe huile d’olive', '2 pincée(s) cumin']</t>
  </si>
  <si>
    <t>Coquillettes au jambon (pour bébé et toute la famille).html</t>
  </si>
  <si>
    <t>['200 g coquillettes', '3 tranche(s) jambon blanc', '250 g carotte(s)', '150 g navet(s)', '3  tomate(s)', '1  oignon(s)', 'qq brin(s) ciboulette', '50 g fromage râpé', '1 c. à soupe huile d’olive', '1 c. à soupe huile de colza', '  sel, poivre']</t>
  </si>
  <si>
    <t>Croziflette au potimarron (pour bébé et toute la famille).html</t>
  </si>
  <si>
    <t>['200 g crozets', '½  potimarron', '200 g jambon blanc', '1  oignon(s)', '½  reblochon', '25 cL crème fraîche', '1 c. à soupe huile d’olive', '  poivre']</t>
  </si>
  <si>
    <t>Muffins aux épinards à la farine de pois chiches.html</t>
  </si>
  <si>
    <t>['200 g épinards', '100 g farine de blé', '100 g farine de pois chiches', '2  oeuf(s)', '150 mL lait', '50 g huile d’olive', '½ sachet(s) poudre à lever', '250 g carotte(s)', '1  orange(s)', '  huile(s) végétale(s)']</t>
  </si>
  <si>
    <t>Tarte rustique aux abricots .html</t>
  </si>
  <si>
    <t>['200 g farine', '80 mL eau tiède', '2 c. à soupe huile de tournesol', '10  abricot(s)', '200 g compote pomme abricots', "3 c. à soupe poudre d'amandes", '1 poignée amandes effilées', '1 jaune(s) oeuf(s)', '1 sachet(s) sucre vanillé']</t>
  </si>
  <si>
    <t>Tarte rustique cerises nectarines.html</t>
  </si>
  <si>
    <t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</si>
  <si>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>Tarte aux carottes et cumin (pour bébé et toute la famille).html</t>
  </si>
  <si>
    <t>['200 g farine', '80 mL huile(s) végétale(s)', '80 mL eau chaude', '1 kg carotte(s)', '4  oeuf(s)', '2 c. à café cumin']</t>
  </si>
  <si>
    <t>Macaroni and cheese au potimarron.html</t>
  </si>
  <si>
    <t>['200 g pâtes', '½  potimarron', '15 cL bouillon de légumes', '1  oignon(s)', '50 g cheddar', '1 c. à soupe huile(s) végétale(s)', '  persil']</t>
  </si>
  <si>
    <t>Pâtes au pesto de petits pois et épinards.html</t>
  </si>
  <si>
    <t>['200 g pâtes', '150 g petits pois', "100 g pousses d'épinards", '30 g parmesan', "3 c. à soupe huile d'olive", '1 gousse(s) ail', '  basilic', '  sel, poivre']</t>
  </si>
  <si>
    <t>Mac &amp; Cheese au butternut et lentilles corail.html</t>
  </si>
  <si>
    <t>['200 g pâtes', '350 g butternut', '40 g lentilles corail', '10 cL crème liquide', '40 g fromage râpé']</t>
  </si>
  <si>
    <t>Pâtes aux boulettes de haricots rouges et carottes.html</t>
  </si>
  <si>
    <t>['200 g pâtes', "80 g flocons d'avoine", '125 g haricots rouges', '300 g carotte(s)', '200 g tomates concassées', '1  oignon(s)', '  cumin', '  huile d’olive']</t>
  </si>
  <si>
    <t>Green burger aux petits pois, compotée de fenouil.html</t>
  </si>
  <si>
    <t>['200 g petits pois', '200 g pois chiches', '1  fenouil', '2  pains à burgers', '1 c. à soupe farine', '2 c. à soupe vinaigre de pomme', '  huile d’olive', '  aneth', '  chapelure']</t>
  </si>
  <si>
    <t>Poulet à l’ananas (aigre-doux).html</t>
  </si>
  <si>
    <t>['200 g poulet', '1  ananas', '2 grosses carotte(s)', '3  tomate(s)', '1  oignon(s)', '1 gousse(s) ail', '  huile d’olive']</t>
  </si>
  <si>
    <t>Spaghetti aux boulettes de lentilles.html</t>
  </si>
  <si>
    <t>['200 g spaghetti', '240 g lentilles', "30 g flocons d'avoine", '400 g tomates', '1  oignon(s)', '1 gousse ail', '  épices', '  origan', '  huile d’olive']</t>
  </si>
  <si>
    <t>Boulettes d’aubergines à la sauce tomate.html</t>
  </si>
  <si>
    <t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</si>
  <si>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>Mousse de betterave au mascarpone (Recette de Noël).html</t>
  </si>
  <si>
    <t>['250 g betterave(s)', '125 g mascarpone', '1  citron(s)', '  huile d’olive']</t>
  </si>
  <si>
    <t>Tartelettes rustiques betterave, chèvre et noix.html</t>
  </si>
  <si>
    <t>['250 g betterave(s)', '150 g farine', '50 g fromage de chèvre', '1 poignée noix', '35 g huile d’olive', '  mâche']</t>
  </si>
  <si>
    <t>Galettes aux blettes et quinoa.html</t>
  </si>
  <si>
    <t>['250 g blettes', '1  carotte(s)', '1  oignon(s)', '100 g quinoa', '50 g farine de sarrasin', '50 g fécule de maïs', '1  oeuf(s)', '50 g bûche de fromage de chèvre', '  huile(s) végétale(s)', '1  salade verte']</t>
  </si>
  <si>
    <t>Poêlée de riz aux côtes de blettes et champignons.html</t>
  </si>
  <si>
    <t>['250 g blettes', '250 g champignons', '150 g riz', '1  oignon(s)', '1 gousse ail', '1 c. à soupe huile d’olive', '  persil']</t>
  </si>
  <si>
    <t>Cake butternut roquefort et noix.html</t>
  </si>
  <si>
    <t>['250 g butternut', '50 g noix', '50 g roquefort', '200 g farine', '3  oeuf(s)', '50 mL lait', '30 g huile d’olive', '1 sachet(s) poudre à lever']</t>
  </si>
  <si>
    <t>Carrot cake à l’orange glacé au fromage blanc.html</t>
  </si>
  <si>
    <t>['250 g carotte(s)', '1  orange(s)', '80 g farine', '2  oeuf(s)', '70 g noisettes', '70 g amandes', '50 g cassonade', '25 g huile(s) végétale(s)', '½ sachet(s) poudre à lever', '1 c. à café cannelle', '100 g fromage blanc']</t>
  </si>
  <si>
    <t>Wraps aux crudités.html</t>
  </si>
  <si>
    <t>['250 g carotte(s)', '1  radis noir', '½  laitue', '140 g maïs', '5  galette(s) de blé', '  coriandre', '125 g haricots blancs', '½  citron', '1 c. à café huile(s) végétale(s)', '1 pincée(s) cumin']</t>
  </si>
  <si>
    <t>Couscous aux légumes racines.html</t>
  </si>
  <si>
    <t>['250 g carotte(s)', '250 g céleri-rave', '150 g navet(s)', '150 g panais', '20 cL coulis de tomates', '1 poignée raisins secs', '125 g semoule de couscous', '  cumin', '  cannelle', '  huile(s) végétale(s)']</t>
  </si>
  <si>
    <t>Palets de légumes (pour bébé et toute la famille).html</t>
  </si>
  <si>
    <t>['250 g carotte(s)', '250 g courgette(s)', '250 g petits pois', '1 petit(s) oignon(s)', '1  oeuf(s)', '25 g fécule de maïs', '2 c. à soupe  huile d’olive', '1 bouquet basilic']</t>
  </si>
  <si>
    <t>Couscous aux légumes (pour bébé et toute la famille).html</t>
  </si>
  <si>
    <t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</si>
  <si>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>Salade de lentilles aux légumes racines et noisettes.html</t>
  </si>
  <si>
    <t>['250 g céleri-rave', '250 g carotte(s)', '150 g panais', '150 g navet(s)', '150 g lentilles vertes', '1 poignée noisettes', '  huile(s) végétale(s)']</t>
  </si>
  <si>
    <t>Boulettes aux lentilles, champignons avoine (et sauce tomates).html</t>
  </si>
  <si>
    <t>['250 g champignons de Paris', '1  oignon(s)', '1 gousse ail', '400 g tomates concassées', '125 g riz', '75 g lentilles vertes', "50 g flocons d'avoine", '  origan', "  huile d'olive"]</t>
  </si>
  <si>
    <t>Gaufres aux épinards.html</t>
  </si>
  <si>
    <t>['250 g épinards', '1  yaourt nature', '2  oeuf(s)', '150 g farine', '1 c. à soupe huile d’olive']</t>
  </si>
  <si>
    <t>Gnocchis à la crème de fenouil et petits pois.html</t>
  </si>
  <si>
    <t>['250 g fenouil', '125 g petits pois', '400 g gnocchis', '  aneth', '  huile(s) végétale(s)']</t>
  </si>
  <si>
    <t>Crumble fraise rhubarbe.html</t>
  </si>
  <si>
    <t>['250 g fraises', '100 g compote de pommes', '1 tige(s) rhubarbe', "50 g flocons d'avoine", '50 g beurre', "50 g poudre d'amandes", '30 g farine de riz', '30 g sirop de dattes']</t>
  </si>
  <si>
    <t>Boulets à la liégeoise (revisités pour bébé et toute la famille).html</t>
  </si>
  <si>
    <t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</si>
  <si>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>Blanquette végétarienne aux haricots blancs.html</t>
  </si>
  <si>
    <t>['250 g haricots blancs', '250 g champignons', '300 g carotte(s)', '1  poireau(x)', '1  oignon(s)', '1 gousse ail', '1  citron(s)', '10 cL crème entière', '  persil', '1 c. à soupe huile d’olive', '100 g riz']</t>
  </si>
  <si>
    <t>Linguini aux fèves, pesto et tomates cerises.html</t>
  </si>
  <si>
    <t>['250 g linguini', '150 g fèves pelées', '100 g tomates cerises', '1  burrata', '½  courgette(s)', '1 bouquet basilic', '1 gousse ail', '15 g pignons de pin', '25 g parmesan', "1 c. à soupe huile d'olive"]</t>
  </si>
  <si>
    <t>Crumble de mûres.html</t>
  </si>
  <si>
    <t>['250 g mûres', '100 g compote de pommes', "50 g flocons d'avoine", '50 g beurre', "50 g poudre d'amandes", '30 g farine de riz', '30 g sirop de dattes']</t>
  </si>
  <si>
    <t>Couscous aux navets, carottes et raisins secs.html</t>
  </si>
  <si>
    <t>['250 g navet(s)', '200 g carotte(s)', '10 cL coulis de tomates', '1 poignée raisins secs', '1  oignon', '100 g semoule de couscous', '  épices', '  huile d’olive', '  huile de colza']</t>
  </si>
  <si>
    <t>Muffins au panais et romarin.html</t>
  </si>
  <si>
    <t>['250 g panais', '3  oeuf(s)', '100 g farine', '50 g fromage râpé', '½ sachet(s) poudre à lever', '  romarin', '  salade verte', '3  carotte(s)', '½  citron', '  huile(s) végétale(s)']</t>
  </si>
  <si>
    <t>Spaghetti à la bolognaise végétarienne (aux lentilles).html</t>
  </si>
  <si>
    <t>['250 g pâtes', '100 g lentilles', '500 g tomate(s)', '250 g carotte(s)', '2 branches céleri-branche', '1  oignon(s)', '1 gousse ail', "  huile d'olive", '  herbes de Provence']</t>
  </si>
  <si>
    <t>Pâtes au pesto de betterave.html</t>
  </si>
  <si>
    <t>['250 g pâtes', '150 g betterave(s)', '50 g fromage frais de chèvre', '½  citron', "2 c. à soupe huile d'olive", '1 poignée amandes', '  persil']</t>
  </si>
  <si>
    <t>Pâtes à la sauce bolognaise végétarienne (aux haricots rouges).html</t>
  </si>
  <si>
    <t>['250 g pâtes', '180 g carotte(s)', '150 g haricots rouges', '1 petit oignon', '10 cL coulis de tomates', '  herbes aromatiques', '  huile d’olive', '  fromage râpé']</t>
  </si>
  <si>
    <t>Pâtes au pesto de chou kale.html</t>
  </si>
  <si>
    <t>['250 g pâtes', '200 g chou kale', '30 g pignons de pin', "20 g poudre d'amandes", '20 g huile d’olive', '2 c. à soupe jus de citron', '1 gousse ail', '  parmesan']</t>
  </si>
  <si>
    <t>Houmous et crudités.html</t>
  </si>
  <si>
    <t>['250 g pois chiches', '½  citron', "2 c. à soupe huile d'olive", '2 c. à soupe huile de sésame', '1 c. à café cumin', '1  concombre', '2  carotte(s)', '250 g tomates cerises', '200 g chou-fleur', '  pain pita']</t>
  </si>
  <si>
    <t>Boulettes de poisson et purée de fenouil à l’aneth (pour bébé et toute la famille).html</t>
  </si>
  <si>
    <t>['250 g poisson blanc', '300 g pomme(s) de terre', '1 bulbe(s) fenouil', '1  échalote(s)', '½  citron(s)', '1 c. à soupe huile d’olive', '2 c. à soupe huile de colza', '1 c. à café aneth', '10 feuilles coriandre', '1 pincée(s) cumin']</t>
  </si>
  <si>
    <t>Trio arc-en-ciel de vitelotte panais et carotte (Recette de Noël).html</t>
  </si>
  <si>
    <t>['250 g pomme(s) de terre vitelotte', '250 g carotte(s)', '250 g panais', '  huile(s) végétale(s)']</t>
  </si>
  <si>
    <t>Tajine de poulet aux pruneaux (pour bébé et toute la famille).html</t>
  </si>
  <si>
    <t>['250 g poulet', '250 g pomme(s) de terre', '250 g carotte(s)', '250 g navet(s)', '20  pruneau(x)', '1  oignon(s)', '1 c. à café épices à tajine', '1 bouquet coriandre', '2 c. à soupe huile d’olive']</t>
  </si>
  <si>
    <t>Salade de riz, avocat, tomates cerises et mozzarella.html</t>
  </si>
  <si>
    <t>['250 g tomates cerises', '1  avocat', '1  mozzarella', '125 g riz', '1  citron', '  basilic', '  huile(s) végétale(s)']</t>
  </si>
  <si>
    <t>Blanquette de veau (pour bébé et toute la famille).html</t>
  </si>
  <si>
    <t>['250 g veau', '250 g carotte(s)', '250 g champignons de Paris', '1 branche(s) céleri', '1  oignon(s)', '1  citron(s)', '150 g riz', '20 g farine', '20 cL crème liquide', '1 branche(s) persil', '1 branche(s) thym', '1  feuille(s) de laurier']</t>
  </si>
  <si>
    <t>Brownie pour bébé et toute la famille.html</t>
  </si>
  <si>
    <t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</si>
  <si>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>Moussaka (pour bébé et toute la famille).html</t>
  </si>
  <si>
    <t>['3  aubergine(s)', '1  oignon(s)', '250 g coulis de tomates', '125 g boeuf haché', '30 g parmesan', '1 c. à soupe farine', '2 c. à soupe huile d’olive', '200 mL lait', '1 pincée(s) muscade moulue', '1 c. à café herbes de Provence']</t>
  </si>
  <si>
    <t>Poires infusées au sirop de clémentines et épices (pour bébé et toute la famille).html</t>
  </si>
  <si>
    <t>['3  poire(s)', '2  clémentine(s)', '1 c. à café épices', '2 c. à soupe sucre de canne']</t>
  </si>
  <si>
    <t>Risotto aux poireaux et parmesan.html</t>
  </si>
  <si>
    <t>['3  poireau(x)', '150 g riz pour risotto', '50 g parmesan', '1 cube(s) bouillon cube de légumes', '  huile d’olive', '  poivre']</t>
  </si>
  <si>
    <t>['3  poireau(x)', '250 g champignons', '150 g riz', '  huile d’olive', '  sauce soja']</t>
  </si>
  <si>
    <t>Tarte aux poireaux et sarrasin.html</t>
  </si>
  <si>
    <t>['3  poireau(x)', '3  oeuf(s)', '40 g fromage râpé', '200 g farine de sarrasin', '40 mL huile d’olive', '120 mL eau chaude']</t>
  </si>
  <si>
    <t>Tarte moelleuse aux poireaux (pour bébé et toute la famille).html</t>
  </si>
  <si>
    <t>['3  poireau(x)', '4 c. à soupe crème fraîche', '1 c. à café curry', '250 g flocons d’avoine', '250 mL lait', '15 g graines de courges']</t>
  </si>
  <si>
    <t>Banana Brownie.html</t>
  </si>
  <si>
    <t>['300 g banane(s)', '3  oeuf(s)', "90 g purée d'oléagineux", '75 g farine', '45 mL lait', '35 g poudre de caroube', '1 c. à café levure', '1 poignée fruits à coque']</t>
  </si>
  <si>
    <t>Risotto à la courge butternut et au chou kale.html</t>
  </si>
  <si>
    <t>['300 g butternut', '210 g riz pour risotto', '150 g chou kale', '1  oignon', '1 L bouillon de légumes', '30 g parmesan', '20 g noix', '1 c. à soupe huile d’olive']</t>
  </si>
  <si>
    <t>Curry de poireaux et carottes.html</t>
  </si>
  <si>
    <t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</si>
  <si>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>Taboulé de quinoa à l’asiatique.html</t>
  </si>
  <si>
    <t>['300 g carotte(s)', '100 g brocoli', '120 g quinoa', '1 petit oignon rouge', '1 poignée cacahuètes', '1 c. à soupe sauce soja', '2 c. à soupe huile de sésame', '1  citron vert', '1 bouquet coriandre', '  graines de sésame']</t>
  </si>
  <si>
    <t>Risotto de carottes à l’orange.html</t>
  </si>
  <si>
    <t>['300 g carotte(s)', '150 g riz pour risotto', '1  oignon(s)', '1  orange(s)', '  herbes aromatiques', "2 c. à soupe huile d'olive"]</t>
  </si>
  <si>
    <t>Soupe au potiron, maïs, carotte et orange.html</t>
  </si>
  <si>
    <t>['300 g carotte(s)', '400 g potiron', '150 g maïs', '1  orange', '1 c. à soupe huile(s) végétale(s)']</t>
  </si>
  <si>
    <t>Quinoa buddha bowl (pour bébé et toute la famille).html</t>
  </si>
  <si>
    <t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</si>
  <si>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>Tagliatelles aux courgettes jaunes.html</t>
  </si>
  <si>
    <t>['300 g courgette(s) jaune(s)', '250 g pâtes', '100 g tomates cerises', '1  échalote(s)', '1 gousse ail', "1 c. à soupe huile d'olive", '½ c. à café herbes de Provence', '  basilic']</t>
  </si>
  <si>
    <t>Salade de quinoa, courgette, petit pois et menthe.html</t>
  </si>
  <si>
    <t>['300 g courgette(s)', '150 g petits pois', '100 g quinoa', '  menthe', '  huile(s) végétale(s)']</t>
  </si>
  <si>
    <t>Pâtes ricotta épinards.html</t>
  </si>
  <si>
    <t>['300 g épinards', '125 g ricotta', '250 g pâtes', '1 c. à soupe huile(s) végétale(s)', '  pignons de pin']</t>
  </si>
  <si>
    <t>Feuilletés chèvre-épinards, poêlée de champignons.html</t>
  </si>
  <si>
    <t>['300 g épinards', '250 g champignons', '60 g mâche', '1  pâte feuilletée', '½  bûche de fromage de chèvre', '1  oignon(s)', '1 c. à soupe farine', '  huile d’olive', '  poivre', '  persil']</t>
  </si>
  <si>
    <t>Pizza aux poivrons et maïs.html</t>
  </si>
  <si>
    <t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</si>
  <si>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>Haricots plats au beurre persillé.html</t>
  </si>
  <si>
    <t>['300 g haricots plats', '15 g beurre', '  persil', '  sel, poivre']</t>
  </si>
  <si>
    <t>Haricots verts à la provençale.html</t>
  </si>
  <si>
    <t>['300 g haricots verts', '200 g courgette(s) jaune(s)', '200 g tomates cerises', '1  échalote(s)', '1 gousse ail', "1 c. à soupe huile d'olive", '  persil']</t>
  </si>
  <si>
    <t>Haricots verts à la sauce tomate et lentilles corail.html</t>
  </si>
  <si>
    <t>['300 g haricots verts', '75 g lentilles corail', '250 g tomate(s)', '½  oignon(s)', '1 gousse ail', "  huile d'olive", '100 g quinoa']</t>
  </si>
  <si>
    <t>Poêlée de légumes aux haricots blancs.html</t>
  </si>
  <si>
    <t>['300 g patate(s) douce(s)', '250 g haricots blancs', '100 g chou kale', '1  poireau(x)', '1  poivron(s) rouge(s)', '1 c. à soupe huile(s) végétale(s)', '1 gousse(s) ail', '  sel, poivre']</t>
  </si>
  <si>
    <t>Tajine de légumes aux pruneaux.html</t>
  </si>
  <si>
    <t>['300 g patate(s) douce(s)', '250 g navet(s)', '125 g pois chiches', '100 g pruneau(x)', '1  oignon(s)', '1 c. à soupe amandes', '  huile d’olive', '  épices', '150 g semoule de couscous']</t>
  </si>
  <si>
    <t>Velouté de patate douce, carotte, lait de coco, lentilles corail et curry.html</t>
  </si>
  <si>
    <t>['300 g patate(s) douce(s)', '300 g carotte(s)', '75 g lentilles corail', '20 cL lait de coco', '  curry']</t>
  </si>
  <si>
    <t>Paëlla (pour bébé et toute la famille).html</t>
  </si>
  <si>
    <t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</si>
  <si>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>Polenta crémeuse au parmesan et tomates rôties.html</t>
  </si>
  <si>
    <t>['300 g tomates cerises', '30 cL lait', '30 cL eau', '100 g polenta', '25 g parmesan', '20 g pignons de pin', "1 c. à soupe huile d'olive", '½ c. à café herbes de Provence', '  basilic']</t>
  </si>
  <si>
    <t>Röstis de topinambour et courge aux épices (pour bébé et toute la famille).html</t>
  </si>
  <si>
    <t>['300 g topinambour(s)', '300 g pomme(s) de terre', '500 g courge', '1  oignon(s)', '1  oeuf(s)', '25 g fécule de maïs', '1  citron(s)', '2 branches persil', '2 c. à soupe huile d’olive', '  épices au choix']</t>
  </si>
  <si>
    <t>Curry de lentilles au lait de coco.html</t>
  </si>
  <si>
    <t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</si>
  <si>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>Salade de betteraves, quinoa, orange et feta.html</t>
  </si>
  <si>
    <t>['350 g betterave(s)', '150 g quinoa', '100 g feta', '2  orange(s)', '1 c. à soupe huile(s) végétale(s)']</t>
  </si>
  <si>
    <t>Velouté de petits pois à la menthe et tartines au radis.html</t>
  </si>
  <si>
    <t>['350 g petits pois', '1 botte radis', '3 tranches pain de campagne', '  fromage frais', '  menthe', '  ciboulette', '  huile(s) végétale(s)']</t>
  </si>
  <si>
    <t>Dahl de lentilles corail aux carottes et épinards.html</t>
  </si>
  <si>
    <t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</si>
  <si>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>Courgettes farcies (pour bébé et toute la famille).html</t>
  </si>
  <si>
    <t>['4  courgette(s) ronde(s)', '1  poivron(s) rouge(s)', '1  oignon(s)', '100 g riz', '100 g ricotta', '1 poignée(s) pignons de pin', '8 feuilles basilic', '1 c. à soupe huile d’olive']</t>
  </si>
  <si>
    <t>Curry de courgettes au lait de coco (pour bébé et toute la famille).html</t>
  </si>
  <si>
    <t>['4  courgette(s)', '150 g riz', '100 g lentilles corail', '20 cL lait de coco', '1 c. à café curry']</t>
  </si>
  <si>
    <t>Ratatouille (pour bébé et toute la famille).html</t>
  </si>
  <si>
    <t>['4  courgette(s)', '2  aubergine(s)', '2  poivron(s)', '6  tomate(s)', '2  oignon(s)', '2 c. à soupe huile d’olive', '1  feuille(s) de laurier', '1 branche(s) thym']</t>
  </si>
  <si>
    <t>Aumônières de légumes au saumon (Recette de Noël).html</t>
  </si>
  <si>
    <t>['4  crêpes', '200 g saumon', '1  poireau(x)', '1  carotte(s)', '1  navet(s)', '½ c. à café curry', '10 feuilles persil', '2 c. à soupe huile d’olive']</t>
  </si>
  <si>
    <t>Gratin d’endives aux poires et noix.html</t>
  </si>
  <si>
    <t>['4  endive(s)', '1  salade verte', '1  poire(s)', '100 g fromage de chèvre frais', '1  oeuf', '50 g crème fraîche', '30 g beurre', '20 g noix', '  persil', '  sel, poivre']</t>
  </si>
  <si>
    <t>Gratin d’endives et patate douce.html</t>
  </si>
  <si>
    <t>['4  endive(s)', '500 g patate(s) douce(s)', '250 mL lait', '25 g beurre', '25 g farine', '  muscade moulue']</t>
  </si>
  <si>
    <t>Fajitas (pour bébé et toute la famille).html</t>
  </si>
  <si>
    <t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</si>
  <si>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>Wraps aux légumes croquants (pour bébé et toute la famille).html</t>
  </si>
  <si>
    <t>['4  galette(s) de blé', '4 feuille(s) laitue', '2  carotte(s)', '1  concombre', '1  avocat(s)', '200 g fromage frais', '4 tranche(s) jambon blanc', '  sel, poivre']</t>
  </si>
  <si>
    <t>Crumble aux pommes et bananes (pour bébé et toute la famille).html</t>
  </si>
  <si>
    <t>['4  pomme(s)', '2  banane(s)', '1 c. à café cannelle', '100 g beurre', "100 g poudre d'amandes", '100 g farine', '100 g sucre de canne']</t>
  </si>
  <si>
    <t>Cake moelleux aux prunes.html</t>
  </si>
  <si>
    <t>['4  prune(s)', '20 cL lait', '200 g farine', "100 g poudre d'amandes", '2  oeuf(s)', '40 g beurre', '40 g sirop de dattes', '2 c. à café poudre à lever', '  amandes effilées']</t>
  </si>
  <si>
    <t>Tarte betterave chèvre et noix.html</t>
  </si>
  <si>
    <t>['400 g betterave(s)', '1  pâte brisée', '150 g yaourt grec', '120 g fromage de chèvre', '2  oeuf(s)', '8 cL lait', '1  salade verte', '1  oignon(s)', '1 gousse(s) ail', '15 g noix', "1 c. à soupe huile d'olive", '  sel, poivre']</t>
  </si>
  <si>
    <t>Velouté de brocoli et champignons rôtis.html</t>
  </si>
  <si>
    <t>['400 g brocoli', '50 g fromage frais', '300 g champignons', "1 c. à soupe huile d'olive", '1 cube(s) bouillon cube de légumes', '1 gousse(s) ail', '  pain', '  sel, poivre']</t>
  </si>
  <si>
    <t>Velouté de carottes, lentilles corail, coco et curry.html</t>
  </si>
  <si>
    <t>['400 g carotte(s)', '100 g lentilles corail', '20 cL lait de coco', '1 c. à café curry', '3 tranches pain', '  huile d’olive']</t>
  </si>
  <si>
    <t>Curry de carottes et pois chiches au gingembre.html</t>
  </si>
  <si>
    <t>['400 g carotte(s)', '200 mL lait de coco', '150 g pois chiches', '150 g semoule de couscous', '½  citron(s)', "1 c. à soupe huile d'olive", '10 g beurre', '2 cm gingembre', '1 gousse ail', '½ c. à café curry doux', '  persil']</t>
  </si>
  <si>
    <t>Crumble au potiron, carottes, parmesan et noisettes.html</t>
  </si>
  <si>
    <t>['400 g carotte(s)', '600 g potiron', '100 g farine', '50 g noisettes en poudre', '50 g parmesan', '50 g beurre']</t>
  </si>
  <si>
    <t>Poêlée de pommes de terre sautées, chou vert, carottes.html</t>
  </si>
  <si>
    <t>['400 g chou vert', '400 g pomme(s) de terre', '350 g carotte(s)', '1 petit oignon', '1 gousse ail', '  huile d’olive']</t>
  </si>
  <si>
    <t>Pâtes à la sauce tomates, chou-fleur et lentilles corail.html</t>
  </si>
  <si>
    <t>['400 g chou-fleur', '250 g pâtes', '20 cL coulis de tomates', '75 g lentilles corail', '  thym', '  huile(s) végétale(s)']</t>
  </si>
  <si>
    <t>Curry de chou-fleur, patate douce et pois chiches, riz.html</t>
  </si>
  <si>
    <t>['400 g chou-fleur', '300 g patate(s) douce(s)', '125 g pois chiches', '20 cL lait de coco', '  curry', '150 g riz']</t>
  </si>
  <si>
    <t>Tarte aux fraises revisitée.html</t>
  </si>
  <si>
    <t>['400 g compote de pommes', "100 g poudre d'amandes", '100 g farine', '80 g beurre', '4 c. à café poudre à lever', '20 cL crème liquide', '125 g mascarpone', '1 c. à café vanille ', '250 g fraises']</t>
  </si>
  <si>
    <t>Bricks à la courgette, feta.html</t>
  </si>
  <si>
    <t>['400 g courgette(s)', '100 g feta', '10  feuilles de brick', '1 poignée pignons de pin', '1 pincée curry', "1 c. à soupe huile d'olive", '1  salade verte', '  vinaigrette']</t>
  </si>
  <si>
    <t>Tagliatelles au pesto de courgette.html</t>
  </si>
  <si>
    <t>['400 g courgette(s)', '200 g pâtes', '40 g parmesan', '30 g pignons de pin', '20 g basilic', "2 c. à soupe huile d'olive", '1 gousse ail']</t>
  </si>
  <si>
    <t>Dahl de lentilles corail et courgette.html</t>
  </si>
  <si>
    <t>['400 g courgette(s)', '250 g tomate(s)', '75 g lentilles corail', '150 g riz', '20 cL lait de coco', '½  oignon(s)', '1 gousse ail', '1 c. à café curry', '1 bouquet coriandre', "  huile d'olive"]</t>
  </si>
  <si>
    <t>Gratin polenta épinards et ricotta.html</t>
  </si>
  <si>
    <t>['400 g épinards', '125 g ricotta', '125 g polenta']</t>
  </si>
  <si>
    <t>Lasagnes aux épinards.html</t>
  </si>
  <si>
    <t>['400 g épinards', '300 g tomate(s)', '½  oignon(s)', '10 feuilles lasagnes', "2 c. à soupe huile d'olive", '25 g farine', '250 mL lait', '  muscade moulue', '  herbes de Provence', '  fromage râpé']</t>
  </si>
  <si>
    <t>Poireaux et haricots blancs en cocotte.html</t>
  </si>
  <si>
    <t>['400 g haricots blancs', '3  poireau(x)', '100 g champignons', '1  carotte(s)', '1 gousse(s) ail', '1  feuille(s) de laurier', '1 branche(s) thym', '1 c. à soupe huile(s) végétale(s)', '1 c. à café concentré de tomates', '  sel, poivre']</t>
  </si>
  <si>
    <t>Salade complète aux haricots verts  (pour bébé et toute la famille).html</t>
  </si>
  <si>
    <t>['400 g haricots verts', '3 à 4  tomates', '400 g pomme(s) de terre', '140 g maïs', '2  oeuf(s)', '2 c. à soupe huile de colza', '5 brin(s) ciboulette', '  citron']</t>
  </si>
  <si>
    <t>Tian patate douce fenouil.html</t>
  </si>
  <si>
    <t>['400 g patate(s) douce(s)', '1  fenouil', '1 gousse ail', '  huile d’olive', '  herbes de Provence']</t>
  </si>
  <si>
    <t>Légumes rôtis, fêta et coriandre.html</t>
  </si>
  <si>
    <t>['400 g patate(s) douce(s)', '300 g carotte(s)', '150 g blé', '125 g pois chiches', '100 g feta', '1  échalote(s)', '1 gousse(s) ail', "2 c. à soupe huile d'olive", '1 c. à café paprika', '1 c. à café cumin', '  coriandre', '  sel, poivre']</t>
  </si>
  <si>
    <t>Patate douce rôtie et haricots verts.html</t>
  </si>
  <si>
    <t>['400 g patate(s) douce(s)', '300 g haricots verts', '1 gousse ail', '2 c. à soupe huile d’olive', '  paprika']</t>
  </si>
  <si>
    <t>Parmentier aux haricots blancs et navets.html</t>
  </si>
  <si>
    <t>['400 g pomme(s) de terre', '250 g navet(s)', '200 g carotte(s)', '150 g haricots blancs', '20 cL coulis de tomates', '1 petit oignon', '1 gousse ail', '  herbes aromatiques', '  emmental râpé', '  huile d’olive']</t>
  </si>
  <si>
    <t>Poêlée de pommes de terre, courgette et haricots rouges.html</t>
  </si>
  <si>
    <t>['400 g pomme(s) de terre', '400 g courgette(s)', '150 g tomates cerises', '125 g haricots rouges', "2 c. à soupe huile d'olive", '½ c. à café thym', '  persil']</t>
  </si>
  <si>
    <t>Poêlée de pommes de terre et haricots verts.html</t>
  </si>
  <si>
    <t>['400 g pomme(s) de terre', '400 g haricots verts', '2 c. à soupe huile(s) végétale(s)', '1 gousse(s) ail', '½ c. à café thym', '  persil']</t>
  </si>
  <si>
    <t>Tarte rustique au potiron, chèvre et noix.html</t>
  </si>
  <si>
    <t>['400 g potiron', '200 g farine', '50 g huile d’olive', '80 mL eau chaude', '½  bûche de fromage de chèvre', '1 poignée noix', '  herbes aromatiques']</t>
  </si>
  <si>
    <t>Pâtes à la bolognaise végétarienne.html</t>
  </si>
  <si>
    <t>['400 g tomates concassées', '200 g pâtes', '150 g champignons', '100 g lentilles', '1  carotte(s)', '1  oignon(s)', '1 gousse(s) ail', "1 c. à soupe huile d'olive", '½ c. à café origan', '  basilic', '  parmesan']</t>
  </si>
  <si>
    <t>Mafé végétarien aux haricots rouges.html</t>
  </si>
  <si>
    <t>['400 g tomates concassées', '300 g carotte(s)', '250 g haricots rouges', '150 g riz', '40 g purée de cacahuètes', '1  échalote(s)', '1 c. à soupe huile(s) végétale(s)', '2  feuille(s) de laurier', '  persil']</t>
  </si>
  <si>
    <t>Potage de patate douce, carottes et haricots rouges au lait de coco.html</t>
  </si>
  <si>
    <t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</si>
  <si>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>Curry de pois chiches et chou kale.html</t>
  </si>
  <si>
    <t>['400 mL lait de coco', '250 g chou kale', '150 g riz', '130 g pois chiches', '1  échalote(s)', '1 c. à soupe huile(s) végétale(s)', '1 c. à soupe jus de citron', '½ c. à café curry', '  persil']</t>
  </si>
  <si>
    <t>Pizza verde à la courgette.html</t>
  </si>
  <si>
    <t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</si>
  <si>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>Mini-courges farcies aux poireaux et champignons.html</t>
  </si>
  <si>
    <t>['5  courges Jack be little', '250 g champignons', '1  poireau(x)', '1  salade verte', '50 g riz', '3 c. à soupe crème fraîche', '30 g comté', '1 c. à soupe huile(s) végétale(s)', '  sel, poivre']</t>
  </si>
  <si>
    <t>Courgettes rondes farcies à la semoule et aux tomates.html</t>
  </si>
  <si>
    <t>['5  courgette(s) ronde(s)', '100 g tomates concassées', '100 g semoule de couscous', '1  échalote(s)', '1 c. à soupe concentré de tomates', '1 gousse(s) ail', '5 g beurre', '½ c. à café romarin']</t>
  </si>
  <si>
    <t>Salade d’endives, poire, bleu et noix (pour bébé et toute la famille).html</t>
  </si>
  <si>
    <t>['5  endive(s)', '2  poire(s)', '60 g fromage bleu', '60 g noix', '2 c. à soupe huile de noix']</t>
  </si>
  <si>
    <t>Salade d’endive, maïs, pomme, chèvre et noix.html</t>
  </si>
  <si>
    <t>['5  endive(s)', '2  pomme(s)', '140 g maïs', '½  bûche de fromage de chèvre', '1 poignée noix', '1 c. à soupe huile de noix', '1 c. à soupe vinaigre de pomme']</t>
  </si>
  <si>
    <t>Endives au jambon sans amertume (pour bébé et toute la famille).html</t>
  </si>
  <si>
    <t>['5  endive(s)', '3  patate(s) douce(s)', '3 tranche(s) jambon blanc', '500 mL lait', '2 c. à soupe farine', '2 c. à soupe huile d’olive', '1 c. à café muscade moulue', '½  citron(s)', '1  morceau de sucre', '60 g fromage râpé']</t>
  </si>
  <si>
    <t>Enchiladas aux haricots rouges.html</t>
  </si>
  <si>
    <t>['5  galette(s) de blé', '250 g haricots rouges', '250 g carotte(s)', "125 g pousses d'épinards", '1  oignon', '1 gousse ail', '400 g tomates concassées', '10 cL coulis de tomates', '  fromage râpé', '  origan', "  huile d'olive"]</t>
  </si>
  <si>
    <t>Wraps au houmous de fenouil et poivrons grillés.html</t>
  </si>
  <si>
    <t>['5  galette(s) de blé', '3  poivron(s)', '250 g fenouil', '125 g pois chiches', '1  salade verte', '1  feta', '1  citron', '  huile(s) végétale(s)', '  sel, poivre']</t>
  </si>
  <si>
    <t>Tomates farçies au quinoa et petits légumes.html</t>
  </si>
  <si>
    <t>['5  tomate(s) à farcir', '150 g carotte(s)', '150 g poivron(s) rouge(s)', '75 g quinoa', "2 c. à soupe huile d'olive", '½ c. à café herbes de Provence', '1  salade verte']</t>
  </si>
  <si>
    <t>Crumble de tomates au fromage de chèvre.html</t>
  </si>
  <si>
    <t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</si>
  <si>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>Risotto de champignons et courge butternut.html</t>
  </si>
  <si>
    <t>['50 cL bouillon de légumes', '½  butternut', '250 g champignons de Paris', '150 g riz pour risotto', '30 g parmesan', '1  oignon(s)', "1 c. à soupe huile d'olive", '1 pincée(s) thym', '  coriandre', '  sel, poivre']</t>
  </si>
  <si>
    <t>Asperges blanches et salade de pommes de terre.html</t>
  </si>
  <si>
    <t>['500 g asperge(s) blanche(s)', '500 g pomme(s) de terre', '1 tige(s) ciboule', '1 c. à café moutarde douce', '¼ tasse vinaigre', '½ tasse huile(s) végétale(s)', '½  citron(s)']</t>
  </si>
  <si>
    <t>Crumble d’aubergines aux oignons caramélisés.html</t>
  </si>
  <si>
    <t>['500 g aubergine(s)', '2  oignon(s) jaune(s)', '1 gousse(s) ail', '100 g farine', "5 c. à soupe  huile d'olive", '½ c. à café thym']</t>
  </si>
  <si>
    <t>Salade de betterave, pois chiches, chèvre et noix.html</t>
  </si>
  <si>
    <t>['500 g betterave(s)', '1  salade verte', '125 g pois chiches', '1 poignée noix', '½  bûche de fromage de chèvre', '1  pain', '  huile(s) végétale(s)']</t>
  </si>
  <si>
    <t>Gnocchis de butternut, sauce au morbier (Recette de Noël).html</t>
  </si>
  <si>
    <t>['500 g butternut', '150 g pomme(s) de terre', '150 g farine', '1 pincée(s) muscade moulue', '75 g morbier', '20 cl crème liquide', '  huile(s) végétale(s)', '  poivre']</t>
  </si>
  <si>
    <t>Brownie salé carottes petits pois.html</t>
  </si>
  <si>
    <t>['500 g carotte(s)', '100 g petits pois', '2  oeuf(s)', "70 g flocons d'avoine", '70 g farine', '½ sachet(s) poudre à lever', '3 c. à soupe huile d’olive', '  cumin']</t>
  </si>
  <si>
    <t>Duo de carottes et pommes de terre rôties aux épices.html</t>
  </si>
  <si>
    <t>['500 g carotte(s)', '500 g pomme(s) de terre', '1 gousse ail', '2 c. à soupe huile d’olive', '  épices']</t>
  </si>
  <si>
    <t>Purée de topinambour et sa poêlée de cèpes (Recette de Noël).html</t>
  </si>
  <si>
    <t>['500 g cèpes frais', '300 g topinambour(s)', '300 g pomme(s) de terre', '10 feuilles persil', '1 gousse(s) ail', '1 noix beurre', '1 c. à soupe huile d’olive']</t>
  </si>
  <si>
    <t>Polenta crémeuse aux champignons et œuf mollet (pour bébé et toute la famille).html</t>
  </si>
  <si>
    <t>['500 g champignons de Paris', '100 g polenta', '3  oeuf(s)', '20 cL crème liquide', '1  oignon(s)', '1 gousse(s) ail', '  persil', '  huile d’olive', '  sel, poivre']</t>
  </si>
  <si>
    <t>Pâtes façon carbonara forestière (pour bébé et toute la famille).html</t>
  </si>
  <si>
    <t>['500 g champignons de Paris', '180 g spaghetti', '1  oignon(s)', '3 tranche(s) jambon blanc', '15 cL crème fraîche', '1 c. à soupe huile d’olive', '1 jaune(s) oeuf(s)', '  persil', '1  pomme(s) de terre', '20 g petites pâtes']</t>
  </si>
  <si>
    <t>Riz et champignons à la crème.html</t>
  </si>
  <si>
    <t>['500 g champignons', '150 g riz', '1  oignon', '1 gousse ail', '  persil', '10 cL crème', '1 c. à soupe huile d’olive']</t>
  </si>
  <si>
    <t>Paupiettes de chou végétariennes.html</t>
  </si>
  <si>
    <t>['500 g chou vert', '150 g carotte(s)', '100 g haricots blancs', '50 g riz', '  huile d’olive']</t>
  </si>
  <si>
    <t>Dahl de chou-fleur et lentilles corail.html</t>
  </si>
  <si>
    <t>['500 g chou-fleur', '100 g lentilles corail', '20 cL lait de coco', '10 cL coulis de tomates', '1  oignon(s)', '  huile d’olive', '  épices']</t>
  </si>
  <si>
    <t>Curry de chou-fleur, carotte et patate douce (pour bébé et toute la famille).html</t>
  </si>
  <si>
    <t>['500 g chou-fleur', '250 g patate(s) douce(s)', '250 g carotte(s)', '1  oignon(s)', '1 gousse(s) ail', '40 cl lait de coco', '1 c. à café curry doux', '2 c. à soupe huile d’olive', '  coriandre', '  noix de cajou', '  sel, poivre']</t>
  </si>
  <si>
    <t>Pizza de chou-fleur (pour bébé et toute la famille).html</t>
  </si>
  <si>
    <t>['500 g chou-fleur', '50 g fromage râpé', '1  oeuf(s)', '200 g champignons de Paris', '200 g coulis de tomates', '1 poignée(s) olives noires', '1  mozzarella', '  origan', '  huile d’olive', '1 boîte anchois', '1 petite pomme(s) de terre']</t>
  </si>
  <si>
    <t>Poêlée de légumes aux choux de Bruxelles.html</t>
  </si>
  <si>
    <t>['500 g choux de Bruxelles', '2  carotte(s)', '250 g pomme(s) de terre', '1  oignon(s)', '1 gousse(s) ail', "1 filet huile d'olive", '  persil', '  sel, poivre']</t>
  </si>
  <si>
    <t>Tarte aux épinards, chèvre et sarrasin (pour bébé et toute la famille).html</t>
  </si>
  <si>
    <t>['500 g épinards', '1  fromage de chèvre', '3  oeuf(s)', '20 cL crème', '200 g farine de sarrasin', '40 mL huile(s) végétale(s)', '120 mL eau chaude']</t>
  </si>
  <si>
    <t>Lasagnes épinards ricotta.html</t>
  </si>
  <si>
    <t>['500 g épinards', '10 feuille(s) lasagnes', '150 g ricotta', '25 g beurre', '25 g farine', '250 mL lait', '  muscade moulue', '  parmesan']</t>
  </si>
  <si>
    <t>Haricots beurre à la méditerranéenne.html</t>
  </si>
  <si>
    <t>['500 g haricots beurre', '1  poivron(s) rouge(s)', '40 g olives', '1  oignon(s)', '1 gousse(s) ail', "1 c. à soupe huile d'olive", '1 c. à café paprika', '  persil', '  sel, poivre']</t>
  </si>
  <si>
    <t>Haricots plats à la tomate.html</t>
  </si>
  <si>
    <t>['500 g haricots plats', '400 g tomates concassées', '1  oignon(s)', '1 gousse(s) ail', "2 c. à soupe huile d'olive", '  persil', '  sel, poivre']</t>
  </si>
  <si>
    <t>Velouté de panais &amp; patates douces aux cacahuètes.html</t>
  </si>
  <si>
    <t>['500 g panais', '250 g patate(s) douce(s)', '2 c. à soupe purée de cacahuètes', '1 poignée cacahuètes']</t>
  </si>
  <si>
    <t>Curry de patate douce et banane plantain.html</t>
  </si>
  <si>
    <t>['500 g patate(s) douce(s)', '1  banane(s) plantain', '200 mL lait de coco', '100 g riz', '1  échalote(s)', '1 c. à soupe huile(s) végétale(s)', '½ c. à café curcuma', '½ c. à café curry', '  coriandre']</t>
  </si>
  <si>
    <t>Röstis de pomme de terre, salade de pousses d’épinards.html</t>
  </si>
  <si>
    <t>['500 g pomme(s) de terre', '1  oeuf(s)', '1  oignon(s)', '2 c. à soupe farine', "125 g pousses d'épinards", "  huile d'olive", '  poivre', '1 c. à café moutarde douce', '2 c. à soupe vinaigre', '6 c. à soupe huile(s) végétale(s)']</t>
  </si>
  <si>
    <t>Gratin dauphinois au céleri.html</t>
  </si>
  <si>
    <t>['500 g pomme(s) de terre', '500 g céleri-rave', '20 cL crème entière', '250 mL lait', '1 gousse ail', '  muscade moulue', '  poivre', "50 g pousses d'épinards", '  huile(s) végétale(s)']</t>
  </si>
  <si>
    <t>Pâtes à la bolognaise (pour bébé et toute la famille).html</t>
  </si>
  <si>
    <t>['500 g tomate(s)', '250 g carotte(s)', '2 branche(s) céleri', '1  oignon(s)', '1 gousse(s) ail', '250 g boeuf haché', '250 g pâtes', '1 c. à café herbes de Provence', '2 c. à soupe huile d’olive', '30 g parmesan', '  sel, poivre']</t>
  </si>
  <si>
    <t>Chili sin carne (pour bébé et toute la famille).html</t>
  </si>
  <si>
    <t>['500 g tomate(s)', '3  carotte(s)', '140 g maïs', '250 g haricots rouges', '200 g riz', '1  oignon(s)', '2 c. à café épices mexicaines', '1 c. à soupe huile d’olive']</t>
  </si>
  <si>
    <t>Tartines aux figues et betterave (pour bébé et toute la famille).html</t>
  </si>
  <si>
    <t>['6  figue(s)', '150 g betterave(s) fraîche(s)', '4 à 5 tranche(s) pain complet', '50 g fromage de chèvre frais', '1 poignée(s) noix', '  thym', '  huile d’olive', '  salade verte']</t>
  </si>
  <si>
    <t>Quesadillas à la patate douce et haricots rouges, guacamole.html</t>
  </si>
  <si>
    <t>['6  galette(s) de blé', '400 g patate douce', '250 g haricots rouges', '1  oignon rouge', '1  salade verte', '1 à 2  avocat(s)', '1  citron vert', '1 sachet(s) fromage râpé', '  épices', '  coriandre', '  huile d’olive']</t>
  </si>
  <si>
    <t>Mug cake fondant au chocolat.html</t>
  </si>
  <si>
    <t>['6 carré(s) chocolat noir', '15 g beurre', '1 c. à soupe sucre', '1 c. à soupe farine', '30 mL lait', '1  oeuf(s)']</t>
  </si>
  <si>
    <t>Lasagnes à la courge.html</t>
  </si>
  <si>
    <t>['6 feuille(s) lasagnes', '50 g parmesan', '700 g courge', '1  oignon(s)', '1 gousse(s) ail', '1 c. à soupe huile d’olive', '3 feuille(s) sauge', '30 g beurre', '30 g farine', '300 mL lait', '1 pincée muscade moulue']</t>
  </si>
  <si>
    <t>Poêlée de carottes aux oignons et raisins secs.html</t>
  </si>
  <si>
    <t>['600 g carotte(s)', '150 g quinoa', '1  oignon(s)', '25 g raisins secs', "2 c. à soupe huile d'olive", '½ c. à café coriandre moulue', '1 pincée cannelle', '  coriandre', '  sel, poivre']</t>
  </si>
  <si>
    <t>Purée de céleri-rave et potiron grillé aux noisettes.html</t>
  </si>
  <si>
    <t>['600 g céleri-rave', '500 g potiron', '1 poignée noisettes', '  huile d’olive', '  huile de colza', '  épices']</t>
  </si>
  <si>
    <t>Gratin de chou-fleur et quinoa à l’amande.html</t>
  </si>
  <si>
    <t>['600 g chou-fleur', '100 g quinoa', '20 cL crème entière', "40 g poudre d'amandes", '  poivre']</t>
  </si>
  <si>
    <t>Nuggets de chou-fleur et salade de mâche, patate douce, avocat et pamplemousse.html</t>
  </si>
  <si>
    <t>['600 g chou-fleur', '150 g farine', '200 mL lait', '1 c. à soupe coulis de tomates', '1 c. à café paprika', '  poivre', '300 g patate(s) douce(s)', '60 g mâche', '1  pamplemousse', '1  avocat', '  huile(s) végétale(s)']</t>
  </si>
  <si>
    <t>Choux de Bruxelles à la crème et polenta crémeuse.html</t>
  </si>
  <si>
    <t>['600 g choux de Bruxelles', '30 cL lait', '200 mL crème liquide', '100 g polenta', '1  échalote(s)', '1 gousse(s) ail', '25 g parmesan', '20 g beurre', '1 c. à soupe moutarde', '  sel, poivre', '  persil']</t>
  </si>
  <si>
    <t>Gaspacho andalou et tartines de fromage frais.html</t>
  </si>
  <si>
    <t>['600 g concombre', '250 g poivron(s) rouge(s)', '250 g tomate(s)', "2 c. à soupe huile d'olive", '10 feuilles basilic', '  pain', '  fromage frais', '  sel, poivre']</t>
  </si>
  <si>
    <t>['600 g courgette(s)', '125 g pois chiches', '125 g riz', '20 cL lait de coco', '  curry']</t>
  </si>
  <si>
    <t>Gratin de pâtes, saumon et épinards (pour bébé et toute la famille).html</t>
  </si>
  <si>
    <t>['600 g épinards', '250 g pâtes', '200 g saumon', '2 c. à soupe huile d’olive', '2 c. à soupe farine', '300 mL lait', '  muscade moulue', '  chapelure']</t>
  </si>
  <si>
    <t>Gnocchis de patate douce (pour bébé et toute la famille).html</t>
  </si>
  <si>
    <t>['600 g patate(s) douce(s)', '150 g farine', '50 g parmesan']</t>
  </si>
  <si>
    <t>Lentilles crémeuses aux champignons et sa purée de pommes de terre.html</t>
  </si>
  <si>
    <t>['600 g pomme(s) de terre', '40 cL bouillon de légumes', '150 mL lait', '120 g lentilles', '70 g champignons', '1  oignon(s)', "1 c. à soupe huile d'olive", '1 c. à café fécule de maïs', '  persil', '  sel, poivre']</t>
  </si>
  <si>
    <t>Frites de patate douce et crème de feta au tahini.html</t>
  </si>
  <si>
    <t>['700 g patate(s) douce(s)', '100 g feta', '1  citron(s)', '50 g tahini', '2 c. à soupe huile(s) végétale(s)', '2 c. à café paprika', '½ c. à café cumin', '  menthe']</t>
  </si>
  <si>
    <t>Gratin dauphinois.html</t>
  </si>
  <si>
    <t>['700 g pomme(s) de terre', '1  salade verte', '20 cL crème liquide', '150 mL lait entier', '30 g fromage râpé', '10 g beurre', '1 gousse(s) ail', '1 pincée(s) muscade moulue', '  sel, poivre']</t>
  </si>
  <si>
    <t>Lasagnes aux blettes.html</t>
  </si>
  <si>
    <t>['750 g blettes', '6 feuille(s) lasagnes', '400 g tomates concassées', '1  oignon(s)', '  cumin', "  huile d'olive", '½  bûche de fromage de chèvre']</t>
  </si>
  <si>
    <t>Boulettes aux pois chiches, purée de carottes.html</t>
  </si>
  <si>
    <t>['750 g carotte(s)', '180 g pois chiches', "70 g flocons d'avoine", '1  échalote(s)', '  épices', '  huile d’olive', '  huile(s) végétale(s)', '  herbes aromatiques']</t>
  </si>
  <si>
    <t>Tarte tatin aux navets et au chèvre (pour bébé et toute la famille).html</t>
  </si>
  <si>
    <t>['750 g navet(s)', '½  bûche de fromage de chèvre', '2 c. à soupe miel', '200 g farine', '80 mL huile(s) végétale(s)', '80 mL eau chaude']</t>
  </si>
  <si>
    <t>Velouté de panais onctueux à la ricotta, croustillant aux noisettes.html</t>
  </si>
  <si>
    <t>['750 g panais', '100 g ricotta', '500 mL lait', '25 g beurre', '25 g farine', '25 g noisettes', '25 g parmesan']</t>
  </si>
  <si>
    <t>Noix de Saint Jacques à la fondue de poireaux (pour bébé et toute la famille).html</t>
  </si>
  <si>
    <t>['8 à 10  noix de Saint Jacques', '500 g poireau(x)', '350 g pomme(s) de terre', '20 cL crème', '1  clémentine(s)', '2 c. à soupe huile d’olive', '  sel, poivre']</t>
  </si>
  <si>
    <t>Rouleaux de printemps (pour bébé et toute la famille).html</t>
  </si>
  <si>
    <t>['8 à 16  feuilles de riz', '8 feuille(s) salade verte', '250 g carotte(s)', '1  concombre', '1  avocat(s)', '100 g vermicelles de riz', '50 g cacahuètes', '1 bouquet menthe', '  huile(s) végétale(s)']</t>
  </si>
  <si>
    <t>Curry de butternut, patate douce et lentilles corail.html</t>
  </si>
  <si>
    <t>['800 g butternut', '250 g patate(s) douce(s)', '40 g lentilles corail', '20 cL lait de coco', '1 c. à café curry', '  coriandre']</t>
  </si>
  <si>
    <t>Mousse de courgettes (pour bébé et toute la famille).html</t>
  </si>
  <si>
    <t>['800 g courgette(s)', '4  oeuf(s)', '20 cL crème fraîche', '50 g farine', '1 c. à café herbes aromatiques']</t>
  </si>
  <si>
    <t>Gratin de navets.html</t>
  </si>
  <si>
    <t>['800 g navet(s)', '50 g gruyère râpé', '3 c. à soupe crème fraîche', '  sel, poivre']</t>
  </si>
  <si>
    <t>Hachis Parmentier végétarien à la patate douce.html</t>
  </si>
  <si>
    <t>['800 g patate douce', '200 g carotte(s)', '250 g haricots rouges', '1  oignon', '400 g tomates concassées', '  huile d’olive', '  thym', '  fromage râpé']</t>
  </si>
  <si>
    <t>Tartelettes façon panna cotta fraises vanille (sans cuisson).html</t>
  </si>
  <si>
    <t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</si>
  <si>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>Tartelettes framboises pistaches.html</t>
  </si>
  <si>
    <t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</si>
  <si>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>Number cake d’anniversaire pour bébé.html</t>
  </si>
  <si>
    <t>["160 g poudre d'amandes", '80 g sucre glace', '4 blanc(s) oeuf(s)', '20 cL crème liquide', '125 g mascarpone', '1 gousse vanille', '  fruits frais de saison']</t>
  </si>
  <si>
    <t>Épinards crémeux à l’indienne.html</t>
  </si>
  <si>
    <t>["300 g pousses d'épinards", '250 g tomates concassées', '200 mL lait de coco', '150 g riz', '1  oignon(s)', '1 gousse(s) ail', "2 c. à soupe huile d'olive", '2 c. à café cumin', '1 c. à café curry', '½ c. à café curcuma', '2  naan']</t>
  </si>
  <si>
    <t>Muesli pour toute la famille.html</t>
  </si>
  <si>
    <t>["500 g flocons d'avoine", '300 g compote de pommes', '3 c. à soupe noix de coco râpée', '1 c. à soupe fécule de maïs', '100 g amandes', '100 g noisettes']</t>
  </si>
  <si>
    <t>Premier mois du planning</t>
  </si>
  <si>
    <t>Chômé ?</t>
  </si>
  <si>
    <t>Jours chômés</t>
  </si>
  <si>
    <t>Lundi</t>
  </si>
  <si>
    <t>Mardi</t>
  </si>
  <si>
    <t>Mercredi</t>
  </si>
  <si>
    <t>Date du jour</t>
  </si>
  <si>
    <t>Jeudi</t>
  </si>
  <si>
    <t>Vendredi</t>
  </si>
  <si>
    <t>Samedi</t>
  </si>
  <si>
    <t>Dimanche</t>
  </si>
  <si>
    <t>N° mois</t>
  </si>
  <si>
    <t>N° semaine</t>
  </si>
  <si>
    <t>Dates</t>
  </si>
  <si>
    <t>Jour Fériés</t>
  </si>
  <si>
    <t>Lundi de pâques</t>
  </si>
  <si>
    <t>Fête du travail</t>
  </si>
  <si>
    <t>Jeudi de l'ascension</t>
  </si>
  <si>
    <t>Victoire 1945</t>
  </si>
  <si>
    <t>Lundi de Pentecôte</t>
  </si>
  <si>
    <t>Fête nationale</t>
  </si>
  <si>
    <t>L'Assomption</t>
  </si>
  <si>
    <t>La Toussaint</t>
  </si>
  <si>
    <t>Noël</t>
  </si>
  <si>
    <t>Année du premier mois du planinng</t>
  </si>
  <si>
    <t>Calendrier repas Elise</t>
  </si>
  <si>
    <t>Jour</t>
  </si>
  <si>
    <t>Midi</t>
  </si>
  <si>
    <t>Goûter</t>
  </si>
  <si>
    <t>Dîner</t>
  </si>
  <si>
    <t>Quinoa assortimens légumes</t>
  </si>
  <si>
    <t>Purée chou fleur, topinambour</t>
  </si>
  <si>
    <t>banane, yaourt chocolat</t>
  </si>
  <si>
    <t>Bruschetta royale</t>
  </si>
  <si>
    <t>pâtes, légumes, poulet</t>
  </si>
  <si>
    <t>yaourt choco-vanille, litchi, crêpe</t>
  </si>
  <si>
    <t>pâtes légumes</t>
  </si>
  <si>
    <t>Flan brocoli œuf</t>
  </si>
  <si>
    <t>Avoine Carotte poulet</t>
  </si>
  <si>
    <t>Champi PdT Béchamel Jambon</t>
  </si>
  <si>
    <t>Pommes de terre Champi bœuf</t>
  </si>
  <si>
    <t>Boulgour jambon champi poivron oignon chou-fleur</t>
  </si>
  <si>
    <t>chou vert, PdT, poulet</t>
  </si>
  <si>
    <t>Patate douce, bœuf, épinard</t>
  </si>
  <si>
    <t>Fleurettes de brocoli et riz blanc, sauce au yaourt et aneth
1  brocoli
150 g riz
1  yaourt nature
1 c. à soupe huile(s) végétale(s)
aneth</t>
  </si>
  <si>
    <t>1  brocoli</t>
  </si>
  <si>
    <t>150 g riz</t>
  </si>
  <si>
    <t>1  yaourt nature</t>
  </si>
  <si>
    <t>1 c. à soupe huile(s) végétale(s)</t>
  </si>
  <si>
    <t>aneth</t>
  </si>
  <si>
    <t>1  brocoli 150 g riz</t>
  </si>
  <si>
    <t>1  brocoli 150 g riz 1  yaourt nature</t>
  </si>
  <si>
    <t>1  brocoli 150 g riz 1  yaourt nature 1 c. à soupe huile(s) végétale(s)</t>
  </si>
  <si>
    <t>1  brocoli 150 g riz 1  yaourt nature 1 c. à soupe huile(s) végétale(s)   aneth</t>
  </si>
  <si>
    <t>Chercher si l'élément est présent dans la liste</t>
  </si>
  <si>
    <t>Résultat</t>
  </si>
  <si>
    <t>abricot</t>
  </si>
  <si>
    <t>chou</t>
  </si>
  <si>
    <t>aiguillette(s) de canard</t>
  </si>
  <si>
    <t>ananas</t>
  </si>
  <si>
    <t>artichaut(s)</t>
  </si>
  <si>
    <t>asperge(s) blanche(s)</t>
  </si>
  <si>
    <t>aubergine(s)</t>
  </si>
  <si>
    <t>avocat</t>
  </si>
  <si>
    <t>baie de genièvre</t>
  </si>
  <si>
    <t>banane</t>
  </si>
  <si>
    <t>betterave</t>
  </si>
  <si>
    <t>beurre</t>
  </si>
  <si>
    <t>blanc oeuf</t>
  </si>
  <si>
    <t>blé</t>
  </si>
  <si>
    <t>blettes</t>
  </si>
  <si>
    <t>boeuf haché</t>
  </si>
  <si>
    <t>boîte anchois</t>
  </si>
  <si>
    <t>boîte pois chiches</t>
  </si>
  <si>
    <t>boîte tomates concassées</t>
  </si>
  <si>
    <t>botte radis</t>
  </si>
  <si>
    <t>botte(s) asperge(s)</t>
  </si>
  <si>
    <t>botte(s) blettes</t>
  </si>
  <si>
    <t>boulgour</t>
  </si>
  <si>
    <t>brie</t>
  </si>
  <si>
    <t>brocoli</t>
  </si>
  <si>
    <t>bûche de fromage de chèvre</t>
  </si>
  <si>
    <t>bulbe(s) fenouil</t>
  </si>
  <si>
    <t>burrata</t>
  </si>
  <si>
    <t>butternut</t>
  </si>
  <si>
    <t>cacahuètes</t>
  </si>
  <si>
    <t>camembert</t>
  </si>
  <si>
    <t>carotte</t>
  </si>
  <si>
    <t>carré(s) chocolat noir</t>
  </si>
  <si>
    <t>cassonade</t>
  </si>
  <si>
    <t>céleri-branche</t>
  </si>
  <si>
    <t>céleri-rave</t>
  </si>
  <si>
    <t>cèpes</t>
  </si>
  <si>
    <t>cerises</t>
  </si>
  <si>
    <t>chair de courge</t>
  </si>
  <si>
    <t>champignon</t>
  </si>
  <si>
    <t>châtaignes</t>
  </si>
  <si>
    <t>cheddar</t>
  </si>
  <si>
    <t>chorizo</t>
  </si>
  <si>
    <t>chou blanc</t>
  </si>
  <si>
    <t>chou chinois</t>
  </si>
  <si>
    <t>chou kale</t>
  </si>
  <si>
    <t>chou rouge</t>
  </si>
  <si>
    <t>chou vert</t>
  </si>
  <si>
    <t>chou-fleur</t>
  </si>
  <si>
    <t>chou-rouge</t>
  </si>
  <si>
    <t>choux de Bruxelles</t>
  </si>
  <si>
    <t>citron</t>
  </si>
  <si>
    <t>citron vert</t>
  </si>
  <si>
    <t>clémentine(s)</t>
  </si>
  <si>
    <t>compote de fruits</t>
  </si>
  <si>
    <t>compote de pommes</t>
  </si>
  <si>
    <t>compote pomme abricots</t>
  </si>
  <si>
    <t>compote pomme fraise rhubarbe</t>
  </si>
  <si>
    <t>comté</t>
  </si>
  <si>
    <t>concombre</t>
  </si>
  <si>
    <t>coquillettes</t>
  </si>
  <si>
    <t>courge</t>
  </si>
  <si>
    <t>courges Jack be little</t>
  </si>
  <si>
    <t>courgette</t>
  </si>
  <si>
    <t>courgette(s) jaune(s)</t>
  </si>
  <si>
    <t>courgette(s) ronde(s)</t>
  </si>
  <si>
    <t>crêpes</t>
  </si>
  <si>
    <t>crevettes</t>
  </si>
  <si>
    <t>crozets</t>
  </si>
  <si>
    <t>dattes</t>
  </si>
  <si>
    <t>dos de cabillaud</t>
  </si>
  <si>
    <t>emmental</t>
  </si>
  <si>
    <t>emmental râpé</t>
  </si>
  <si>
    <t>endive(s)</t>
  </si>
  <si>
    <t>épinards</t>
  </si>
  <si>
    <t>escalope(s) de dinde</t>
  </si>
  <si>
    <t>farine</t>
  </si>
  <si>
    <t>farine de blé</t>
  </si>
  <si>
    <t>farine de pois chiches</t>
  </si>
  <si>
    <t>farine de riz</t>
  </si>
  <si>
    <t>farine de sarrasin</t>
  </si>
  <si>
    <t>farine dépeautre</t>
  </si>
  <si>
    <t>farine semi-complète</t>
  </si>
  <si>
    <t>fécule de maïs</t>
  </si>
  <si>
    <t>fenouil</t>
  </si>
  <si>
    <t>feta</t>
  </si>
  <si>
    <t>fèves pelées</t>
  </si>
  <si>
    <t>févettes écossées</t>
  </si>
  <si>
    <t>figue(s)</t>
  </si>
  <si>
    <t>filets anchois</t>
  </si>
  <si>
    <t>flocons d’avoine</t>
  </si>
  <si>
    <t>fourme dAmbert</t>
  </si>
  <si>
    <t>fraises</t>
  </si>
  <si>
    <t>framboises</t>
  </si>
  <si>
    <t>fromage blanc</t>
  </si>
  <si>
    <t>fromage bleu</t>
  </si>
  <si>
    <t>fromage de chèvre</t>
  </si>
  <si>
    <t>fromage de chèvre frais</t>
  </si>
  <si>
    <t>fromage frais de chèvre</t>
  </si>
  <si>
    <t>fromage râpé</t>
  </si>
  <si>
    <t>galette(s) de blé</t>
  </si>
  <si>
    <t>gnocchis</t>
  </si>
  <si>
    <t>grenade</t>
  </si>
  <si>
    <t>grosses carotte(s)</t>
  </si>
  <si>
    <t>gruyère râpé</t>
  </si>
  <si>
    <t>haché de boeuf + porc</t>
  </si>
  <si>
    <t>haricots beurre</t>
  </si>
  <si>
    <t>haricots blancs</t>
  </si>
  <si>
    <t>haricots plats</t>
  </si>
  <si>
    <t>haricots rouges</t>
  </si>
  <si>
    <t>haricots verts</t>
  </si>
  <si>
    <t>jambon blanc</t>
  </si>
  <si>
    <t>jaune(s) oeuf(s)</t>
  </si>
  <si>
    <t>laitue</t>
  </si>
  <si>
    <t>lentilles</t>
  </si>
  <si>
    <t>lentilles corail</t>
  </si>
  <si>
    <t>lentilles vertes</t>
  </si>
  <si>
    <t>linguini</t>
  </si>
  <si>
    <t>lotte</t>
  </si>
  <si>
    <t>mâche</t>
  </si>
  <si>
    <t>magret de canard</t>
  </si>
  <si>
    <t>maïs</t>
  </si>
  <si>
    <t>mangue</t>
  </si>
  <si>
    <t>mascarpone</t>
  </si>
  <si>
    <t>melon</t>
  </si>
  <si>
    <t>menthe</t>
  </si>
  <si>
    <t>millet</t>
  </si>
  <si>
    <t>morbier</t>
  </si>
  <si>
    <t>mozzarella</t>
  </si>
  <si>
    <t>muesli</t>
  </si>
  <si>
    <t>mûres</t>
  </si>
  <si>
    <t>naan</t>
  </si>
  <si>
    <t>navet(s)</t>
  </si>
  <si>
    <t>nectarine(s)</t>
  </si>
  <si>
    <t>noisettes</t>
  </si>
  <si>
    <t>noisettes en poudre</t>
  </si>
  <si>
    <t>noix</t>
  </si>
  <si>
    <t>noix de pécan</t>
  </si>
  <si>
    <t>noix de Saint Jacques</t>
  </si>
  <si>
    <t>nouilles Soba</t>
  </si>
  <si>
    <t>oeuf</t>
  </si>
  <si>
    <t>oignon</t>
  </si>
  <si>
    <t>oignon rouge</t>
  </si>
  <si>
    <t>oignon(s) jaune(s)</t>
  </si>
  <si>
    <t>orange</t>
  </si>
  <si>
    <t>pamplemousse</t>
  </si>
  <si>
    <t>panais</t>
  </si>
  <si>
    <t>paprika</t>
  </si>
  <si>
    <t>parmesan</t>
  </si>
  <si>
    <t>patate douce</t>
  </si>
  <si>
    <t>pâtes</t>
  </si>
  <si>
    <t>pâtes farcir</t>
  </si>
  <si>
    <t>pavé(s) saumon</t>
  </si>
  <si>
    <t>pêche(s)</t>
  </si>
  <si>
    <t>pêche(s) jaune(s)</t>
  </si>
  <si>
    <t>petit-suisse</t>
  </si>
  <si>
    <t>pita</t>
  </si>
  <si>
    <t>poignée amandes</t>
  </si>
  <si>
    <t>poignée amandes effilées</t>
  </si>
  <si>
    <t>poignée baies de goji</t>
  </si>
  <si>
    <t>poignée cacahuètes</t>
  </si>
  <si>
    <t>poignée fruits coque</t>
  </si>
  <si>
    <t>poignée menthe</t>
  </si>
  <si>
    <t>poignée noisettes</t>
  </si>
  <si>
    <t>poignée noix</t>
  </si>
  <si>
    <t>poignée pignons de pin</t>
  </si>
  <si>
    <t>poignée raisins secs</t>
  </si>
  <si>
    <t>poignée(s) pousses d’épinards</t>
  </si>
  <si>
    <t>poignée(s) tomates cerises</t>
  </si>
  <si>
    <t>poire(s)</t>
  </si>
  <si>
    <t>poireau(x)</t>
  </si>
  <si>
    <t>pois chiches</t>
  </si>
  <si>
    <t>poisson blanc</t>
  </si>
  <si>
    <t>poivron(s)</t>
  </si>
  <si>
    <t>poivron(s) jaune(s)</t>
  </si>
  <si>
    <t>poivron(s) rouge(s)</t>
  </si>
  <si>
    <t>poivron(s) vert(s)</t>
  </si>
  <si>
    <t>polenta</t>
  </si>
  <si>
    <t>pomme(s)</t>
  </si>
  <si>
    <t>pomme(s) de terre</t>
  </si>
  <si>
    <t>pomme(s) de terre vitelotte</t>
  </si>
  <si>
    <t>potimarron</t>
  </si>
  <si>
    <t>potiron</t>
  </si>
  <si>
    <t>poudre damandes</t>
  </si>
  <si>
    <t>poudre de caroube</t>
  </si>
  <si>
    <t>poudre de pistaches</t>
  </si>
  <si>
    <t>poulet</t>
  </si>
  <si>
    <t>pousses d’épinards</t>
  </si>
  <si>
    <t>prune(s)</t>
  </si>
  <si>
    <t>pruneau(x)</t>
  </si>
  <si>
    <t>purée de cacahuètes</t>
  </si>
  <si>
    <t>purée doléagineux</t>
  </si>
  <si>
    <t>quinoa</t>
  </si>
  <si>
    <t>radis noir</t>
  </si>
  <si>
    <t>raisins secs</t>
  </si>
  <si>
    <t>reblochon</t>
  </si>
  <si>
    <t>rhubarbe</t>
  </si>
  <si>
    <t>ricotta</t>
  </si>
  <si>
    <t>riz</t>
  </si>
  <si>
    <t>riz pour risotto</t>
  </si>
  <si>
    <t>roquette</t>
  </si>
  <si>
    <t>saucisses</t>
  </si>
  <si>
    <t>saucisses fumées</t>
  </si>
  <si>
    <t>saumon</t>
  </si>
  <si>
    <t>semoule de couscous</t>
  </si>
  <si>
    <t>soja</t>
  </si>
  <si>
    <t>spaghetti</t>
  </si>
  <si>
    <t>tahini</t>
  </si>
  <si>
    <t>thon</t>
  </si>
  <si>
    <t>tige(s) ciboule</t>
  </si>
  <si>
    <t>tige(s) rhubarbe</t>
  </si>
  <si>
    <t>tomate(s)</t>
  </si>
  <si>
    <t>tomate(s) farcir</t>
  </si>
  <si>
    <t>tomates</t>
  </si>
  <si>
    <t>tomates cerises</t>
  </si>
  <si>
    <t>tomates concassées</t>
  </si>
  <si>
    <t>tomates pelées</t>
  </si>
  <si>
    <t>tomates séchées</t>
  </si>
  <si>
    <t>topinambour(s)</t>
  </si>
  <si>
    <t>tranche(s) jambon blanc</t>
  </si>
  <si>
    <t>tranche(s) pain</t>
  </si>
  <si>
    <t>tranche(s) pain complet</t>
  </si>
  <si>
    <t>tranche(s) pain de mie</t>
  </si>
  <si>
    <t>tranche(s) tome de brebis</t>
  </si>
  <si>
    <t>tranches pain</t>
  </si>
  <si>
    <t>tranches pain de campagne</t>
  </si>
  <si>
    <t>veau</t>
  </si>
  <si>
    <t>vermicelles de riz</t>
  </si>
  <si>
    <t>vermicelles de soja</t>
  </si>
  <si>
    <t>yaourt</t>
  </si>
  <si>
    <t>yaourt grec</t>
  </si>
  <si>
    <t>yaourt 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</si>
</sst>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d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  <charset val="1"/>
    </font>
    <font>
      <sz val="11"/>
      <color rgb="FF000000"/>
      <name val="Arial"/>
      <family val="2"/>
    </font>
    <font>
      <sz val="11"/>
      <color theme="1"/>
      <name val="Arial"/>
      <family val="2"/>
      <charset val="1"/>
    </font>
    <font>
      <b/>
      <sz val="11"/>
      <color theme="1"/>
      <name val="Arial"/>
      <family val="2"/>
      <charset val="1"/>
    </font>
    <font>
      <sz val="10"/>
      <name val="Calibri"/>
      <family val="2"/>
      <scheme val="minor"/>
    </font>
    <font>
      <sz val="22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  <charset val="1"/>
    </font>
    <font>
      <sz val="7"/>
      <name val="Arial"/>
      <family val="2"/>
      <charset val="1"/>
    </font>
    <font>
      <b/>
      <sz val="8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charset val="1"/>
    </font>
    <font>
      <sz val="16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theme="4" tint="0.79989013336588644"/>
        <bgColor rgb="FFCCFFFF"/>
      </patternFill>
    </fill>
    <fill>
      <patternFill patternType="solid">
        <fgColor theme="9" tint="0.39988402966399123"/>
        <bgColor rgb="FFFF66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87182226020086"/>
        <bgColor rgb="FFFF99CC"/>
      </patternFill>
    </fill>
    <fill>
      <patternFill patternType="solid">
        <fgColor rgb="FF00B0F0"/>
        <bgColor rgb="FF33CCCC"/>
      </patternFill>
    </fill>
  </fills>
  <borders count="3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2" fillId="0" borderId="0"/>
    <xf numFmtId="0" fontId="4" fillId="0" borderId="0"/>
  </cellStyleXfs>
  <cellXfs count="91">
    <xf numFmtId="0" fontId="0" fillId="0" borderId="0" xfId="0"/>
    <xf numFmtId="0" fontId="2" fillId="0" borderId="1" xfId="1" applyBorder="1" applyAlignment="1">
      <alignment horizontal="center" wrapText="1"/>
    </xf>
    <xf numFmtId="0" fontId="2" fillId="0" borderId="2" xfId="1" applyBorder="1" applyAlignment="1">
      <alignment horizontal="center" wrapText="1"/>
    </xf>
    <xf numFmtId="0" fontId="2" fillId="0" borderId="0" xfId="1"/>
    <xf numFmtId="0" fontId="2" fillId="0" borderId="3" xfId="1" applyBorder="1" applyAlignment="1">
      <alignment horizontal="center" vertical="center" wrapText="1"/>
    </xf>
    <xf numFmtId="0" fontId="2" fillId="0" borderId="4" xfId="1" applyBorder="1" applyAlignment="1">
      <alignment horizontal="center" vertical="center" wrapText="1"/>
    </xf>
    <xf numFmtId="0" fontId="2" fillId="0" borderId="5" xfId="1" applyBorder="1" applyAlignment="1">
      <alignment horizontal="center" vertical="center" wrapText="1"/>
    </xf>
    <xf numFmtId="0" fontId="2" fillId="0" borderId="6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2" fillId="0" borderId="1" xfId="1" applyBorder="1" applyAlignment="1">
      <alignment horizontal="center" vertical="center" wrapText="1"/>
    </xf>
    <xf numFmtId="0" fontId="2" fillId="0" borderId="2" xfId="1" applyBorder="1" applyAlignment="1">
      <alignment horizontal="center" vertical="center" wrapText="1"/>
    </xf>
    <xf numFmtId="0" fontId="5" fillId="2" borderId="9" xfId="2" applyFont="1" applyFill="1" applyBorder="1" applyAlignment="1">
      <alignment horizontal="center" vertical="center"/>
    </xf>
    <xf numFmtId="0" fontId="5" fillId="2" borderId="5" xfId="2" applyFont="1" applyFill="1" applyBorder="1" applyAlignment="1">
      <alignment horizontal="center" vertical="center"/>
    </xf>
    <xf numFmtId="0" fontId="5" fillId="2" borderId="10" xfId="2" applyFont="1" applyFill="1" applyBorder="1" applyAlignment="1">
      <alignment horizontal="center" vertical="center"/>
    </xf>
    <xf numFmtId="0" fontId="5" fillId="2" borderId="10" xfId="2" applyFont="1" applyFill="1" applyBorder="1" applyAlignment="1">
      <alignment vertical="center"/>
    </xf>
    <xf numFmtId="0" fontId="4" fillId="0" borderId="11" xfId="2" applyBorder="1" applyAlignment="1">
      <alignment horizontal="center" vertical="center"/>
    </xf>
    <xf numFmtId="0" fontId="4" fillId="3" borderId="5" xfId="2" applyFill="1" applyBorder="1" applyAlignment="1">
      <alignment horizontal="left" vertical="center" indent="1"/>
    </xf>
    <xf numFmtId="0" fontId="4" fillId="3" borderId="10" xfId="2" applyFill="1" applyBorder="1" applyAlignment="1">
      <alignment horizontal="center" vertical="center"/>
    </xf>
    <xf numFmtId="0" fontId="4" fillId="3" borderId="6" xfId="2" applyFill="1" applyBorder="1" applyAlignment="1">
      <alignment horizontal="center" vertical="center"/>
    </xf>
    <xf numFmtId="0" fontId="4" fillId="3" borderId="5" xfId="2" applyFill="1" applyBorder="1" applyAlignment="1">
      <alignment horizontal="left" indent="1"/>
    </xf>
    <xf numFmtId="0" fontId="4" fillId="3" borderId="10" xfId="2" applyFill="1" applyBorder="1"/>
    <xf numFmtId="0" fontId="4" fillId="3" borderId="6" xfId="2" applyFill="1" applyBorder="1" applyAlignment="1">
      <alignment horizontal="center"/>
    </xf>
    <xf numFmtId="14" fontId="4" fillId="0" borderId="12" xfId="2" applyNumberFormat="1" applyBorder="1" applyAlignment="1">
      <alignment horizontal="center" vertical="center"/>
    </xf>
    <xf numFmtId="14" fontId="4" fillId="0" borderId="0" xfId="2" applyNumberFormat="1" applyAlignment="1">
      <alignment horizontal="center" vertical="center"/>
    </xf>
    <xf numFmtId="0" fontId="4" fillId="3" borderId="10" xfId="2" applyFill="1" applyBorder="1" applyAlignment="1">
      <alignment horizontal="left" vertical="center" indent="1"/>
    </xf>
    <xf numFmtId="0" fontId="4" fillId="3" borderId="10" xfId="2" applyFill="1" applyBorder="1" applyAlignment="1">
      <alignment vertical="center"/>
    </xf>
    <xf numFmtId="0" fontId="4" fillId="0" borderId="0" xfId="2" applyAlignment="1">
      <alignment vertical="center"/>
    </xf>
    <xf numFmtId="0" fontId="1" fillId="4" borderId="10" xfId="0" applyFont="1" applyFill="1" applyBorder="1" applyAlignment="1">
      <alignment horizontal="center" vertical="center"/>
    </xf>
    <xf numFmtId="14" fontId="6" fillId="5" borderId="10" xfId="0" applyNumberFormat="1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left" vertical="center" indent="1"/>
    </xf>
    <xf numFmtId="16" fontId="6" fillId="5" borderId="10" xfId="0" applyNumberFormat="1" applyFont="1" applyFill="1" applyBorder="1" applyAlignment="1">
      <alignment horizontal="left" vertical="center" indent="1"/>
    </xf>
    <xf numFmtId="14" fontId="6" fillId="5" borderId="10" xfId="0" applyNumberFormat="1" applyFont="1" applyFill="1" applyBorder="1" applyAlignment="1">
      <alignment horizontal="left" vertical="center" indent="1"/>
    </xf>
    <xf numFmtId="0" fontId="7" fillId="6" borderId="13" xfId="1" applyFont="1" applyFill="1" applyBorder="1" applyAlignment="1" applyProtection="1">
      <alignment horizontal="center" vertical="center" wrapText="1"/>
      <protection hidden="1"/>
    </xf>
    <xf numFmtId="0" fontId="7" fillId="6" borderId="0" xfId="1" applyFont="1" applyFill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vertical="center" wrapText="1"/>
      <protection hidden="1"/>
    </xf>
    <xf numFmtId="0" fontId="0" fillId="0" borderId="0" xfId="1" applyFont="1"/>
    <xf numFmtId="0" fontId="0" fillId="0" borderId="14" xfId="1" applyFont="1" applyBorder="1" applyAlignment="1" applyProtection="1">
      <alignment horizontal="center" vertical="center" wrapText="1"/>
      <protection hidden="1"/>
    </xf>
    <xf numFmtId="0" fontId="0" fillId="0" borderId="15" xfId="1" applyFont="1" applyBorder="1" applyAlignment="1" applyProtection="1">
      <alignment horizontal="center" vertical="center" wrapText="1"/>
      <protection hidden="1"/>
    </xf>
    <xf numFmtId="0" fontId="0" fillId="0" borderId="16" xfId="1" applyFont="1" applyBorder="1" applyAlignment="1" applyProtection="1">
      <alignment horizontal="center" vertical="center" wrapText="1"/>
      <protection hidden="1"/>
    </xf>
    <xf numFmtId="0" fontId="0" fillId="0" borderId="17" xfId="1" applyFont="1" applyBorder="1" applyAlignment="1" applyProtection="1">
      <alignment horizontal="center" vertical="center" wrapText="1"/>
      <protection hidden="1"/>
    </xf>
    <xf numFmtId="0" fontId="0" fillId="0" borderId="18" xfId="1" applyFont="1" applyBorder="1" applyAlignment="1" applyProtection="1">
      <alignment horizontal="center" vertical="center" wrapText="1"/>
      <protection hidden="1"/>
    </xf>
    <xf numFmtId="0" fontId="0" fillId="0" borderId="18" xfId="1" applyFont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center" wrapText="1"/>
      <protection hidden="1"/>
    </xf>
    <xf numFmtId="0" fontId="0" fillId="0" borderId="16" xfId="1" applyFont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center" wrapText="1"/>
      <protection hidden="1"/>
    </xf>
    <xf numFmtId="164" fontId="8" fillId="0" borderId="19" xfId="1" applyNumberFormat="1" applyFont="1" applyBorder="1" applyAlignment="1" applyProtection="1">
      <alignment horizontal="left" vertical="center" wrapText="1"/>
      <protection hidden="1"/>
    </xf>
    <xf numFmtId="165" fontId="8" fillId="0" borderId="3" xfId="1" applyNumberFormat="1" applyFont="1" applyBorder="1" applyAlignment="1" applyProtection="1">
      <alignment horizontal="left" vertical="center" wrapText="1"/>
      <protection hidden="1"/>
    </xf>
    <xf numFmtId="0" fontId="9" fillId="0" borderId="20" xfId="1" applyFont="1" applyBorder="1" applyAlignment="1" applyProtection="1">
      <alignment horizontal="center" vertical="center" wrapText="1"/>
      <protection hidden="1"/>
    </xf>
    <xf numFmtId="0" fontId="9" fillId="0" borderId="4" xfId="1" applyFont="1" applyBorder="1" applyAlignment="1" applyProtection="1">
      <alignment horizontal="center" vertical="center" wrapText="1"/>
      <protection hidden="1"/>
    </xf>
    <xf numFmtId="0" fontId="10" fillId="0" borderId="11" xfId="1" applyFont="1" applyBorder="1" applyAlignment="1" applyProtection="1">
      <alignment horizontal="center" vertical="center" wrapText="1"/>
      <protection hidden="1"/>
    </xf>
    <xf numFmtId="164" fontId="8" fillId="0" borderId="21" xfId="1" applyNumberFormat="1" applyFont="1" applyBorder="1" applyAlignment="1" applyProtection="1">
      <alignment horizontal="left" vertical="center" wrapText="1"/>
      <protection hidden="1"/>
    </xf>
    <xf numFmtId="0" fontId="10" fillId="0" borderId="13" xfId="1" applyFont="1" applyBorder="1" applyAlignment="1" applyProtection="1">
      <alignment horizontal="center" vertical="center" wrapText="1"/>
      <protection hidden="1"/>
    </xf>
    <xf numFmtId="164" fontId="8" fillId="0" borderId="22" xfId="1" applyNumberFormat="1" applyFont="1" applyBorder="1" applyAlignment="1" applyProtection="1">
      <alignment horizontal="left" vertical="center" wrapText="1"/>
      <protection hidden="1"/>
    </xf>
    <xf numFmtId="165" fontId="8" fillId="0" borderId="5" xfId="1" applyNumberFormat="1" applyFont="1" applyBorder="1" applyAlignment="1" applyProtection="1">
      <alignment horizontal="left" vertical="center" wrapText="1"/>
      <protection hidden="1"/>
    </xf>
    <xf numFmtId="0" fontId="9" fillId="0" borderId="23" xfId="1" applyFont="1" applyBorder="1" applyAlignment="1" applyProtection="1">
      <alignment horizontal="center" vertical="center" wrapText="1"/>
      <protection hidden="1"/>
    </xf>
    <xf numFmtId="0" fontId="9" fillId="0" borderId="6" xfId="1" applyFont="1" applyBorder="1" applyAlignment="1" applyProtection="1">
      <alignment horizontal="center" vertical="center" wrapText="1"/>
      <protection hidden="1"/>
    </xf>
    <xf numFmtId="164" fontId="8" fillId="0" borderId="24" xfId="1" applyNumberFormat="1" applyFont="1" applyBorder="1" applyAlignment="1" applyProtection="1">
      <alignment horizontal="left" vertical="center" wrapText="1"/>
      <protection hidden="1"/>
    </xf>
    <xf numFmtId="164" fontId="8" fillId="0" borderId="25" xfId="1" applyNumberFormat="1" applyFont="1" applyBorder="1" applyAlignment="1" applyProtection="1">
      <alignment horizontal="left" vertical="center" wrapText="1"/>
      <protection hidden="1"/>
    </xf>
    <xf numFmtId="165" fontId="8" fillId="0" borderId="26" xfId="1" applyNumberFormat="1" applyFont="1" applyBorder="1" applyAlignment="1" applyProtection="1">
      <alignment horizontal="left" vertical="center" wrapText="1"/>
      <protection hidden="1"/>
    </xf>
    <xf numFmtId="0" fontId="9" fillId="0" borderId="27" xfId="1" applyFont="1" applyBorder="1" applyAlignment="1" applyProtection="1">
      <alignment horizontal="center" vertical="center" wrapText="1"/>
      <protection hidden="1"/>
    </xf>
    <xf numFmtId="0" fontId="9" fillId="0" borderId="28" xfId="1" applyFont="1" applyBorder="1" applyAlignment="1" applyProtection="1">
      <alignment horizontal="center" vertical="center" wrapText="1"/>
      <protection hidden="1"/>
    </xf>
    <xf numFmtId="0" fontId="10" fillId="0" borderId="12" xfId="1" applyFont="1" applyBorder="1" applyAlignment="1" applyProtection="1">
      <alignment horizontal="center" vertical="center" wrapText="1"/>
      <protection hidden="1"/>
    </xf>
    <xf numFmtId="164" fontId="8" fillId="0" borderId="29" xfId="1" applyNumberFormat="1" applyFont="1" applyBorder="1" applyAlignment="1" applyProtection="1">
      <alignment horizontal="left" vertical="center" wrapText="1"/>
      <protection hidden="1"/>
    </xf>
    <xf numFmtId="0" fontId="10" fillId="0" borderId="30" xfId="1" applyFont="1" applyBorder="1" applyAlignment="1" applyProtection="1">
      <alignment horizontal="center" vertical="center" wrapText="1"/>
      <protection hidden="1"/>
    </xf>
    <xf numFmtId="0" fontId="0" fillId="0" borderId="13" xfId="1" applyFont="1" applyBorder="1"/>
    <xf numFmtId="0" fontId="0" fillId="0" borderId="31" xfId="1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7" borderId="32" xfId="1" applyFont="1" applyFill="1" applyBorder="1" applyAlignment="1" applyProtection="1">
      <alignment horizontal="center" vertical="center" wrapText="1"/>
      <protection hidden="1"/>
    </xf>
    <xf numFmtId="0" fontId="0" fillId="0" borderId="33" xfId="1" applyFont="1" applyBorder="1" applyAlignment="1" applyProtection="1">
      <alignment horizontal="center" vertical="center" wrapText="1"/>
      <protection hidden="1"/>
    </xf>
    <xf numFmtId="0" fontId="0" fillId="0" borderId="32" xfId="1" applyFont="1" applyBorder="1" applyAlignment="1" applyProtection="1">
      <alignment horizontal="center" vertical="center" wrapText="1"/>
      <protection hidden="1"/>
    </xf>
    <xf numFmtId="164" fontId="8" fillId="0" borderId="6" xfId="1" applyNumberFormat="1" applyFont="1" applyBorder="1" applyAlignment="1" applyProtection="1">
      <alignment horizontal="left" vertical="center" wrapText="1"/>
      <protection hidden="1"/>
    </xf>
    <xf numFmtId="0" fontId="11" fillId="0" borderId="10" xfId="1" applyFont="1" applyBorder="1" applyAlignment="1" applyProtection="1">
      <alignment horizontal="left" vertical="top" wrapText="1"/>
      <protection hidden="1"/>
    </xf>
    <xf numFmtId="0" fontId="10" fillId="0" borderId="33" xfId="1" applyFont="1" applyBorder="1" applyAlignment="1" applyProtection="1">
      <alignment horizontal="center" vertical="center" wrapText="1"/>
      <protection hidden="1"/>
    </xf>
    <xf numFmtId="0" fontId="11" fillId="0" borderId="23" xfId="1" applyFont="1" applyBorder="1" applyAlignment="1" applyProtection="1">
      <alignment horizontal="left" vertical="top" wrapText="1"/>
      <protection hidden="1"/>
    </xf>
    <xf numFmtId="164" fontId="8" fillId="0" borderId="28" xfId="1" applyNumberFormat="1" applyFont="1" applyBorder="1" applyAlignment="1" applyProtection="1">
      <alignment horizontal="left" vertical="center" wrapText="1"/>
      <protection hidden="1"/>
    </xf>
    <xf numFmtId="0" fontId="11" fillId="0" borderId="34" xfId="1" applyFont="1" applyBorder="1" applyAlignment="1" applyProtection="1">
      <alignment horizontal="left" vertical="top" wrapText="1"/>
      <protection hidden="1"/>
    </xf>
    <xf numFmtId="0" fontId="10" fillId="0" borderId="35" xfId="1" applyFont="1" applyBorder="1" applyAlignment="1" applyProtection="1">
      <alignment horizontal="center" vertical="center" wrapText="1"/>
      <protection hidden="1"/>
    </xf>
    <xf numFmtId="0" fontId="11" fillId="0" borderId="27" xfId="1" applyFont="1" applyBorder="1" applyAlignment="1" applyProtection="1">
      <alignment horizontal="left" vertical="top" wrapText="1"/>
      <protection hidden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12" fillId="0" borderId="1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2" fillId="0" borderId="24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2" fillId="0" borderId="10" xfId="1" applyBorder="1" applyAlignment="1">
      <alignment horizontal="center" vertical="center"/>
    </xf>
    <xf numFmtId="0" fontId="14" fillId="0" borderId="9" xfId="1" applyFont="1" applyBorder="1" applyAlignment="1">
      <alignment horizontal="center" vertical="center"/>
    </xf>
    <xf numFmtId="0" fontId="0" fillId="0" borderId="0" xfId="1" applyFont="1" applyProtection="1">
      <protection locked="0"/>
    </xf>
  </cellXfs>
  <cellStyles count="3">
    <cellStyle name="Normal" xfId="0" builtinId="0"/>
    <cellStyle name="Normal 2" xfId="1" xr:uid="{E80EA7EB-C9BE-4DB0-BFDE-5E1CF934F4CA}"/>
    <cellStyle name="Normal 3" xfId="2" xr:uid="{30BFA36B-738B-41A5-9F9C-1BC5054EACA2}"/>
  </cellStyles>
  <dxfs count="122"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5" tint="0.59987182226020086"/>
        </patternFill>
      </fill>
    </dxf>
    <dxf>
      <fill>
        <patternFill>
          <bgColor theme="7" tint="0.59987182226020086"/>
        </patternFill>
      </fill>
    </dxf>
    <dxf>
      <fill>
        <patternFill>
          <bgColor theme="7" tint="0.59987182226020086"/>
        </patternFill>
      </fill>
    </dxf>
    <dxf>
      <fill>
        <patternFill>
          <bgColor theme="5" tint="0.59987182226020086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87182226020086"/>
        </patternFill>
      </fill>
    </dxf>
    <dxf>
      <fill>
        <patternFill>
          <bgColor theme="7" tint="0.59987182226020086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5" tint="0.59987182226020086"/>
        </patternFill>
      </fill>
    </dxf>
    <dxf>
      <fill>
        <patternFill>
          <bgColor theme="7" tint="0.59987182226020086"/>
        </patternFill>
      </fill>
    </dxf>
    <dxf>
      <fill>
        <patternFill>
          <bgColor theme="7" tint="0.59987182226020086"/>
        </patternFill>
      </fill>
    </dxf>
    <dxf>
      <fill>
        <patternFill>
          <bgColor theme="5" tint="0.59987182226020086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87182226020086"/>
        </patternFill>
      </fill>
    </dxf>
    <dxf>
      <fill>
        <patternFill>
          <bgColor theme="7" tint="0.59987182226020086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7" tint="0.59987182226020086"/>
        </patternFill>
      </fill>
    </dxf>
    <dxf>
      <fill>
        <patternFill>
          <bgColor theme="5" tint="0.59987182226020086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ill>
        <patternFill>
          <bgColor theme="8" tint="0.39988402966399123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Arial"/>
        <family val="2"/>
        <charset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9E5ECE"/>
      <color rgb="FF954E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Système!$C$3" lockText="1" noThreeD="1"/>
</file>

<file path=xl/ctrlProps/ctrlProp2.xml><?xml version="1.0" encoding="utf-8"?>
<formControlPr xmlns="http://schemas.microsoft.com/office/spreadsheetml/2009/9/main" objectType="CheckBox" fmlaLink="Système!$C$4" lockText="1" noThreeD="1"/>
</file>

<file path=xl/ctrlProps/ctrlProp3.xml><?xml version="1.0" encoding="utf-8"?>
<formControlPr xmlns="http://schemas.microsoft.com/office/spreadsheetml/2009/9/main" objectType="CheckBox" fmlaLink="Système!$C$5" lockText="1" noThreeD="1"/>
</file>

<file path=xl/ctrlProps/ctrlProp4.xml><?xml version="1.0" encoding="utf-8"?>
<formControlPr xmlns="http://schemas.microsoft.com/office/spreadsheetml/2009/9/main" objectType="CheckBox" fmlaLink="Système!$C$6" lockText="1" noThreeD="1"/>
</file>

<file path=xl/ctrlProps/ctrlProp5.xml><?xml version="1.0" encoding="utf-8"?>
<formControlPr xmlns="http://schemas.microsoft.com/office/spreadsheetml/2009/9/main" objectType="CheckBox" checked="Checked" fmlaLink="Système!$C$7" lockText="1" noThreeD="1"/>
</file>

<file path=xl/ctrlProps/ctrlProp6.xml><?xml version="1.0" encoding="utf-8"?>
<formControlPr xmlns="http://schemas.microsoft.com/office/spreadsheetml/2009/9/main" objectType="CheckBox" checked="Checked" fmlaLink="Système!$C$8" lockText="1" noThreeD="1"/>
</file>

<file path=xl/ctrlProps/ctrlProp7.xml><?xml version="1.0" encoding="utf-8"?>
<formControlPr xmlns="http://schemas.microsoft.com/office/spreadsheetml/2009/9/main" objectType="CheckBox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1</xdr:row>
          <xdr:rowOff>144780</xdr:rowOff>
        </xdr:from>
        <xdr:to>
          <xdr:col>3</xdr:col>
          <xdr:colOff>68580</xdr:colOff>
          <xdr:row>3</xdr:row>
          <xdr:rowOff>0</xdr:rowOff>
        </xdr:to>
        <xdr:sp macro="" textlink="">
          <xdr:nvSpPr>
            <xdr:cNvPr id="1025" name="Check Box 1" descr="Check Box 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194148A-6769-4110-971E-5D2FDF8FA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2</xdr:row>
          <xdr:rowOff>144780</xdr:rowOff>
        </xdr:from>
        <xdr:to>
          <xdr:col>3</xdr:col>
          <xdr:colOff>68580</xdr:colOff>
          <xdr:row>4</xdr:row>
          <xdr:rowOff>0</xdr:rowOff>
        </xdr:to>
        <xdr:sp macro="" textlink="">
          <xdr:nvSpPr>
            <xdr:cNvPr id="1026" name="Check Box 2" descr="Check Box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11FF855-63A5-4CA7-A58F-08C16694F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3</xdr:row>
          <xdr:rowOff>144780</xdr:rowOff>
        </xdr:from>
        <xdr:to>
          <xdr:col>3</xdr:col>
          <xdr:colOff>68580</xdr:colOff>
          <xdr:row>5</xdr:row>
          <xdr:rowOff>0</xdr:rowOff>
        </xdr:to>
        <xdr:sp macro="" textlink="">
          <xdr:nvSpPr>
            <xdr:cNvPr id="1027" name="Check Box 3" descr="Check Box 4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7730F29-7489-47D2-B9D6-9938BF091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4</xdr:row>
          <xdr:rowOff>137160</xdr:rowOff>
        </xdr:from>
        <xdr:to>
          <xdr:col>3</xdr:col>
          <xdr:colOff>68580</xdr:colOff>
          <xdr:row>5</xdr:row>
          <xdr:rowOff>175260</xdr:rowOff>
        </xdr:to>
        <xdr:sp macro="" textlink="">
          <xdr:nvSpPr>
            <xdr:cNvPr id="1028" name="Check Box 4" descr="Check Box 5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621FBD0-8178-4381-827F-C79E88567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5</xdr:row>
          <xdr:rowOff>137160</xdr:rowOff>
        </xdr:from>
        <xdr:to>
          <xdr:col>3</xdr:col>
          <xdr:colOff>68580</xdr:colOff>
          <xdr:row>7</xdr:row>
          <xdr:rowOff>0</xdr:rowOff>
        </xdr:to>
        <xdr:sp macro="" textlink="">
          <xdr:nvSpPr>
            <xdr:cNvPr id="1029" name="Check Box 5" descr="Check Box 6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CB070A0-7965-42D0-9905-A0A6A25CFA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6</xdr:row>
          <xdr:rowOff>137160</xdr:rowOff>
        </xdr:from>
        <xdr:to>
          <xdr:col>3</xdr:col>
          <xdr:colOff>68580</xdr:colOff>
          <xdr:row>8</xdr:row>
          <xdr:rowOff>7620</xdr:rowOff>
        </xdr:to>
        <xdr:sp macro="" textlink="">
          <xdr:nvSpPr>
            <xdr:cNvPr id="1030" name="Check Box 6" descr="Check Box 7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6DEC1CAC-FE44-4D9B-B2FF-DC3F45D03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624840</xdr:colOff>
          <xdr:row>0</xdr:row>
          <xdr:rowOff>160020</xdr:rowOff>
        </xdr:from>
        <xdr:to>
          <xdr:col>3</xdr:col>
          <xdr:colOff>76200</xdr:colOff>
          <xdr:row>2</xdr:row>
          <xdr:rowOff>15240</xdr:rowOff>
        </xdr:to>
        <xdr:sp macro="" textlink="">
          <xdr:nvSpPr>
            <xdr:cNvPr id="1031" name="Check Box 7" descr="Check Box 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AFE81C8E-F5CD-4EBF-BAE4-48F93ECCD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41867</xdr:colOff>
      <xdr:row>0</xdr:row>
      <xdr:rowOff>0</xdr:rowOff>
    </xdr:from>
    <xdr:to>
      <xdr:col>4</xdr:col>
      <xdr:colOff>116542</xdr:colOff>
      <xdr:row>0</xdr:row>
      <xdr:rowOff>367553</xdr:rowOff>
    </xdr:to>
    <xdr:sp macro="" textlink="">
      <xdr:nvSpPr>
        <xdr:cNvPr id="2" name="Rectangle : coins arrondis 2">
          <a:extLst>
            <a:ext uri="{FF2B5EF4-FFF2-40B4-BE49-F238E27FC236}">
              <a16:creationId xmlns:a16="http://schemas.microsoft.com/office/drawing/2014/main" id="{285D353E-C5F1-4FD4-AD81-F984CCD00CF1}"/>
            </a:ext>
          </a:extLst>
        </xdr:cNvPr>
        <xdr:cNvSpPr/>
      </xdr:nvSpPr>
      <xdr:spPr>
        <a:xfrm>
          <a:off x="41867" y="0"/>
          <a:ext cx="3374135" cy="367553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fr-FR" sz="1200" b="0" strike="noStrike" spc="-1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lang="fr-FR" sz="12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260873</xdr:colOff>
      <xdr:row>0</xdr:row>
      <xdr:rowOff>0</xdr:rowOff>
    </xdr:from>
    <xdr:to>
      <xdr:col>8</xdr:col>
      <xdr:colOff>366027</xdr:colOff>
      <xdr:row>1</xdr:row>
      <xdr:rowOff>5767</xdr:rowOff>
    </xdr:to>
    <xdr:sp macro="" textlink="">
      <xdr:nvSpPr>
        <xdr:cNvPr id="3" name="Rectangle : coins arrondis 1">
          <a:extLst>
            <a:ext uri="{FF2B5EF4-FFF2-40B4-BE49-F238E27FC236}">
              <a16:creationId xmlns:a16="http://schemas.microsoft.com/office/drawing/2014/main" id="{24BFDD89-2E8B-4C60-86B2-47747C84F42C}"/>
            </a:ext>
          </a:extLst>
        </xdr:cNvPr>
        <xdr:cNvSpPr/>
      </xdr:nvSpPr>
      <xdr:spPr>
        <a:xfrm>
          <a:off x="3560333" y="0"/>
          <a:ext cx="2048254" cy="386767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fr-FR" sz="1400" b="0" strike="noStrike" spc="-1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lang="fr-FR" sz="14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RIELPNR\Users\BOUTh\Desktop\full_planning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EA5F67-AE1D-49B2-A5C0-20A8496B440B}" name="Tableau2" displayName="Tableau2" ref="A1:B942" totalsRowShown="0">
  <autoFilter ref="A1:B942" xr:uid="{00000000-0009-0000-0100-000002000000}"/>
  <tableColumns count="2">
    <tableColumn id="1" xr3:uid="{E4AE9EB1-D4E8-4F4E-A80B-9B2A115A3B2E}" name="Recettes"/>
    <tableColumn id="2" xr3:uid="{AC47FB72-AF2E-4F09-B582-4ADFA532D359}" name="Ingrédient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FF4D73-E3DB-4025-9FC3-FF76AC28A139}" name="Tableau1" displayName="Tableau1" ref="A1:C235" totalsRowShown="0">
  <autoFilter ref="A1:C235" xr:uid="{00000000-0009-0000-0100-000001000000}"/>
  <tableColumns count="3">
    <tableColumn id="1" xr3:uid="{EC737D77-2F64-4466-B26C-281BE59EE4B0}" name="Recettes"/>
    <tableColumn id="2" xr3:uid="{22D71B18-5ABA-4E14-A796-0C50F7FDD00B}" name="Ingrédients"/>
    <tableColumn id="3" xr3:uid="{FFAF91F9-8DA4-472B-989C-0C48B4ADDE23}" name="Colonne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438670-B0F4-4D62-9853-356387C6E80D}" name="Tableau3" displayName="Tableau3" ref="A1:B303" totalsRowShown="0">
  <autoFilter ref="A1:B303" xr:uid="{00000000-0009-0000-0100-000003000000}"/>
  <tableColumns count="2">
    <tableColumn id="1" xr3:uid="{D1C7E594-BE58-4D91-B2F2-3DD6DB64A590}" name="Recettes"/>
    <tableColumn id="2" xr3:uid="{8104EBDB-2F5B-4247-8443-08EC9C2C9F13}" name="Ingrédient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017EAE-B0FA-4B0F-9809-9BF90E284885}" name="Tableau4" displayName="Tableau4" ref="A1:A233" totalsRowShown="0" headerRowDxfId="117" dataDxfId="118" headerRowBorderDxfId="120" tableBorderDxfId="121">
  <autoFilter ref="A1:A233" xr:uid="{00000000-0009-0000-0100-000004000000}"/>
  <tableColumns count="1">
    <tableColumn id="1" xr3:uid="{E672C23A-2172-4BA9-AF03-067D43B7FEF4}" name="Ingrédients" dataDxfId="11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07A38-09E0-4BBC-A041-266EF09700B6}">
  <sheetPr codeName="Feuil8">
    <tabColor rgb="FFFF0000"/>
  </sheetPr>
  <dimension ref="A1:B942"/>
  <sheetViews>
    <sheetView zoomScaleNormal="100" workbookViewId="0">
      <pane ySplit="1" topLeftCell="A2" activePane="bottomLeft" state="frozen"/>
      <selection activeCell="A28" sqref="A28"/>
      <selection pane="bottomLeft" activeCell="A28" sqref="A28"/>
    </sheetView>
  </sheetViews>
  <sheetFormatPr baseColWidth="10" defaultColWidth="11.5546875" defaultRowHeight="13.2"/>
  <cols>
    <col min="1" max="1" width="52.44140625" style="3" customWidth="1"/>
    <col min="2" max="2" width="119.6640625" style="3" customWidth="1"/>
    <col min="3" max="16384" width="11.5546875" style="3"/>
  </cols>
  <sheetData>
    <row r="1" spans="1:2" ht="13.8" thickBot="1">
      <c r="A1" s="10" t="s">
        <v>0</v>
      </c>
      <c r="B1" s="11" t="s">
        <v>1</v>
      </c>
    </row>
    <row r="2" spans="1:2">
      <c r="A2" s="4" t="s">
        <v>467</v>
      </c>
      <c r="B2" s="5" t="s">
        <v>468</v>
      </c>
    </row>
    <row r="3" spans="1:2">
      <c r="A3" s="6" t="s">
        <v>469</v>
      </c>
      <c r="B3" s="7" t="s">
        <v>470</v>
      </c>
    </row>
    <row r="4" spans="1:2" ht="26.4">
      <c r="A4" s="6" t="s">
        <v>471</v>
      </c>
      <c r="B4" s="7" t="s">
        <v>472</v>
      </c>
    </row>
    <row r="5" spans="1:2">
      <c r="A5" s="6" t="s">
        <v>473</v>
      </c>
      <c r="B5" s="7" t="s">
        <v>474</v>
      </c>
    </row>
    <row r="6" spans="1:2" ht="26.4">
      <c r="A6" s="6" t="s">
        <v>475</v>
      </c>
      <c r="B6" s="7" t="s">
        <v>476</v>
      </c>
    </row>
    <row r="7" spans="1:2">
      <c r="A7" s="6" t="s">
        <v>477</v>
      </c>
      <c r="B7" s="7" t="s">
        <v>478</v>
      </c>
    </row>
    <row r="8" spans="1:2">
      <c r="A8" s="6" t="s">
        <v>479</v>
      </c>
      <c r="B8" s="7" t="s">
        <v>480</v>
      </c>
    </row>
    <row r="9" spans="1:2">
      <c r="A9" s="6" t="s">
        <v>481</v>
      </c>
      <c r="B9" s="7" t="s">
        <v>482</v>
      </c>
    </row>
    <row r="10" spans="1:2">
      <c r="A10" s="6" t="s">
        <v>483</v>
      </c>
      <c r="B10" s="7" t="s">
        <v>484</v>
      </c>
    </row>
    <row r="11" spans="1:2">
      <c r="A11" s="6" t="s">
        <v>485</v>
      </c>
      <c r="B11" s="7" t="s">
        <v>486</v>
      </c>
    </row>
    <row r="12" spans="1:2">
      <c r="A12" s="6" t="s">
        <v>487</v>
      </c>
      <c r="B12" s="7" t="s">
        <v>488</v>
      </c>
    </row>
    <row r="13" spans="1:2">
      <c r="A13" s="6" t="s">
        <v>489</v>
      </c>
      <c r="B13" s="7" t="s">
        <v>490</v>
      </c>
    </row>
    <row r="14" spans="1:2">
      <c r="A14" s="6" t="s">
        <v>491</v>
      </c>
      <c r="B14" s="7" t="s">
        <v>492</v>
      </c>
    </row>
    <row r="15" spans="1:2" ht="26.4">
      <c r="A15" s="6" t="s">
        <v>493</v>
      </c>
      <c r="B15" s="7" t="s">
        <v>494</v>
      </c>
    </row>
    <row r="16" spans="1:2">
      <c r="A16" s="6" t="s">
        <v>495</v>
      </c>
      <c r="B16" s="7" t="s">
        <v>496</v>
      </c>
    </row>
    <row r="17" spans="1:2">
      <c r="A17" s="6" t="s">
        <v>497</v>
      </c>
      <c r="B17" s="7" t="s">
        <v>498</v>
      </c>
    </row>
    <row r="18" spans="1:2">
      <c r="A18" s="6" t="s">
        <v>499</v>
      </c>
      <c r="B18" s="7" t="s">
        <v>500</v>
      </c>
    </row>
    <row r="19" spans="1:2">
      <c r="A19" s="6" t="s">
        <v>501</v>
      </c>
      <c r="B19" s="7" t="s">
        <v>502</v>
      </c>
    </row>
    <row r="20" spans="1:2">
      <c r="A20" s="6" t="s">
        <v>503</v>
      </c>
      <c r="B20" s="7" t="s">
        <v>504</v>
      </c>
    </row>
    <row r="21" spans="1:2">
      <c r="A21" s="6" t="s">
        <v>505</v>
      </c>
      <c r="B21" s="7" t="s">
        <v>506</v>
      </c>
    </row>
    <row r="22" spans="1:2">
      <c r="A22" s="6" t="s">
        <v>507</v>
      </c>
      <c r="B22" s="7" t="s">
        <v>508</v>
      </c>
    </row>
    <row r="23" spans="1:2" ht="26.4">
      <c r="A23" s="6" t="s">
        <v>509</v>
      </c>
      <c r="B23" s="7" t="s">
        <v>510</v>
      </c>
    </row>
    <row r="24" spans="1:2" ht="26.4">
      <c r="A24" s="6" t="s">
        <v>511</v>
      </c>
      <c r="B24" s="7" t="s">
        <v>512</v>
      </c>
    </row>
    <row r="25" spans="1:2">
      <c r="A25" s="6" t="s">
        <v>513</v>
      </c>
      <c r="B25" s="7" t="s">
        <v>514</v>
      </c>
    </row>
    <row r="26" spans="1:2">
      <c r="A26" s="6" t="s">
        <v>515</v>
      </c>
      <c r="B26" s="7" t="s">
        <v>516</v>
      </c>
    </row>
    <row r="27" spans="1:2" ht="26.4">
      <c r="A27" s="6" t="s">
        <v>517</v>
      </c>
      <c r="B27" s="7" t="s">
        <v>518</v>
      </c>
    </row>
    <row r="28" spans="1:2">
      <c r="A28" s="6" t="s">
        <v>519</v>
      </c>
      <c r="B28" s="7" t="s">
        <v>520</v>
      </c>
    </row>
    <row r="29" spans="1:2" ht="26.4">
      <c r="A29" s="6" t="s">
        <v>521</v>
      </c>
      <c r="B29" s="7" t="s">
        <v>522</v>
      </c>
    </row>
    <row r="30" spans="1:2" ht="26.4">
      <c r="A30" s="6" t="s">
        <v>523</v>
      </c>
      <c r="B30" s="7" t="s">
        <v>524</v>
      </c>
    </row>
    <row r="31" spans="1:2">
      <c r="A31" s="6" t="s">
        <v>525</v>
      </c>
      <c r="B31" s="7" t="s">
        <v>526</v>
      </c>
    </row>
    <row r="32" spans="1:2">
      <c r="A32" s="6" t="s">
        <v>527</v>
      </c>
      <c r="B32" s="7" t="s">
        <v>528</v>
      </c>
    </row>
    <row r="33" spans="1:2">
      <c r="A33" s="6" t="s">
        <v>529</v>
      </c>
      <c r="B33" s="7" t="s">
        <v>530</v>
      </c>
    </row>
    <row r="34" spans="1:2" ht="26.4">
      <c r="A34" s="6" t="s">
        <v>531</v>
      </c>
      <c r="B34" s="7" t="s">
        <v>532</v>
      </c>
    </row>
    <row r="35" spans="1:2" ht="26.4">
      <c r="A35" s="6" t="s">
        <v>533</v>
      </c>
      <c r="B35" s="7" t="s">
        <v>534</v>
      </c>
    </row>
    <row r="36" spans="1:2" ht="26.4">
      <c r="A36" s="6" t="s">
        <v>535</v>
      </c>
      <c r="B36" s="7" t="s">
        <v>536</v>
      </c>
    </row>
    <row r="37" spans="1:2">
      <c r="A37" s="6" t="s">
        <v>537</v>
      </c>
      <c r="B37" s="7" t="s">
        <v>538</v>
      </c>
    </row>
    <row r="38" spans="1:2">
      <c r="A38" s="6" t="s">
        <v>539</v>
      </c>
      <c r="B38" s="7" t="s">
        <v>540</v>
      </c>
    </row>
    <row r="39" spans="1:2">
      <c r="A39" s="6" t="s">
        <v>541</v>
      </c>
      <c r="B39" s="7" t="s">
        <v>542</v>
      </c>
    </row>
    <row r="40" spans="1:2">
      <c r="A40" s="6" t="s">
        <v>543</v>
      </c>
      <c r="B40" s="7" t="s">
        <v>544</v>
      </c>
    </row>
    <row r="41" spans="1:2">
      <c r="A41" s="6" t="s">
        <v>545</v>
      </c>
      <c r="B41" s="7" t="s">
        <v>546</v>
      </c>
    </row>
    <row r="42" spans="1:2">
      <c r="A42" s="6" t="s">
        <v>547</v>
      </c>
      <c r="B42" s="7" t="s">
        <v>548</v>
      </c>
    </row>
    <row r="43" spans="1:2">
      <c r="A43" s="6" t="s">
        <v>549</v>
      </c>
      <c r="B43" s="7" t="s">
        <v>550</v>
      </c>
    </row>
    <row r="44" spans="1:2">
      <c r="A44" s="6" t="s">
        <v>551</v>
      </c>
      <c r="B44" s="7" t="s">
        <v>552</v>
      </c>
    </row>
    <row r="45" spans="1:2" ht="26.4">
      <c r="A45" s="6" t="s">
        <v>553</v>
      </c>
      <c r="B45" s="7" t="s">
        <v>554</v>
      </c>
    </row>
    <row r="46" spans="1:2" ht="26.4">
      <c r="A46" s="6" t="s">
        <v>555</v>
      </c>
      <c r="B46" s="7" t="s">
        <v>556</v>
      </c>
    </row>
    <row r="47" spans="1:2" ht="26.4">
      <c r="A47" s="6" t="s">
        <v>557</v>
      </c>
      <c r="B47" s="7" t="s">
        <v>558</v>
      </c>
    </row>
    <row r="48" spans="1:2">
      <c r="A48" s="6" t="s">
        <v>559</v>
      </c>
      <c r="B48" s="7" t="s">
        <v>560</v>
      </c>
    </row>
    <row r="49" spans="1:2">
      <c r="A49" s="6" t="s">
        <v>561</v>
      </c>
      <c r="B49" s="7" t="s">
        <v>562</v>
      </c>
    </row>
    <row r="50" spans="1:2" ht="26.4">
      <c r="A50" s="6" t="s">
        <v>563</v>
      </c>
      <c r="B50" s="7" t="s">
        <v>564</v>
      </c>
    </row>
    <row r="51" spans="1:2" ht="26.4">
      <c r="A51" s="6" t="s">
        <v>565</v>
      </c>
      <c r="B51" s="7" t="s">
        <v>566</v>
      </c>
    </row>
    <row r="52" spans="1:2">
      <c r="A52" s="6" t="s">
        <v>567</v>
      </c>
      <c r="B52" s="7" t="s">
        <v>568</v>
      </c>
    </row>
    <row r="53" spans="1:2">
      <c r="A53" s="6" t="s">
        <v>569</v>
      </c>
      <c r="B53" s="7" t="s">
        <v>570</v>
      </c>
    </row>
    <row r="54" spans="1:2">
      <c r="A54" s="6" t="s">
        <v>571</v>
      </c>
      <c r="B54" s="7" t="s">
        <v>572</v>
      </c>
    </row>
    <row r="55" spans="1:2">
      <c r="A55" s="6" t="s">
        <v>573</v>
      </c>
      <c r="B55" s="7" t="s">
        <v>574</v>
      </c>
    </row>
    <row r="56" spans="1:2">
      <c r="A56" s="6" t="s">
        <v>575</v>
      </c>
      <c r="B56" s="7" t="s">
        <v>576</v>
      </c>
    </row>
    <row r="57" spans="1:2">
      <c r="A57" s="6" t="s">
        <v>577</v>
      </c>
      <c r="B57" s="7" t="s">
        <v>578</v>
      </c>
    </row>
    <row r="58" spans="1:2">
      <c r="A58" s="6" t="s">
        <v>579</v>
      </c>
      <c r="B58" s="7" t="s">
        <v>580</v>
      </c>
    </row>
    <row r="59" spans="1:2">
      <c r="A59" s="6" t="s">
        <v>581</v>
      </c>
      <c r="B59" s="7" t="s">
        <v>582</v>
      </c>
    </row>
    <row r="60" spans="1:2">
      <c r="A60" s="6" t="s">
        <v>583</v>
      </c>
      <c r="B60" s="7" t="s">
        <v>584</v>
      </c>
    </row>
    <row r="61" spans="1:2">
      <c r="A61" s="6" t="s">
        <v>585</v>
      </c>
      <c r="B61" s="7" t="s">
        <v>586</v>
      </c>
    </row>
    <row r="62" spans="1:2" ht="26.4">
      <c r="A62" s="6" t="s">
        <v>587</v>
      </c>
      <c r="B62" s="7" t="s">
        <v>588</v>
      </c>
    </row>
    <row r="63" spans="1:2">
      <c r="A63" s="6" t="s">
        <v>589</v>
      </c>
      <c r="B63" s="7" t="s">
        <v>590</v>
      </c>
    </row>
    <row r="64" spans="1:2">
      <c r="A64" s="6" t="s">
        <v>591</v>
      </c>
      <c r="B64" s="7" t="s">
        <v>592</v>
      </c>
    </row>
    <row r="65" spans="1:2">
      <c r="A65" s="6" t="s">
        <v>593</v>
      </c>
      <c r="B65" s="7" t="s">
        <v>594</v>
      </c>
    </row>
    <row r="66" spans="1:2" ht="26.4">
      <c r="A66" s="6" t="s">
        <v>595</v>
      </c>
      <c r="B66" s="7" t="s">
        <v>596</v>
      </c>
    </row>
    <row r="67" spans="1:2">
      <c r="A67" s="6" t="s">
        <v>597</v>
      </c>
      <c r="B67" s="7" t="s">
        <v>598</v>
      </c>
    </row>
    <row r="68" spans="1:2">
      <c r="A68" s="6" t="s">
        <v>599</v>
      </c>
      <c r="B68" s="7" t="s">
        <v>600</v>
      </c>
    </row>
    <row r="69" spans="1:2">
      <c r="A69" s="6" t="s">
        <v>601</v>
      </c>
      <c r="B69" s="7" t="s">
        <v>602</v>
      </c>
    </row>
    <row r="70" spans="1:2" ht="26.4">
      <c r="A70" s="6" t="s">
        <v>603</v>
      </c>
      <c r="B70" s="7" t="s">
        <v>604</v>
      </c>
    </row>
    <row r="71" spans="1:2">
      <c r="A71" s="6" t="s">
        <v>605</v>
      </c>
      <c r="B71" s="7" t="s">
        <v>606</v>
      </c>
    </row>
    <row r="72" spans="1:2">
      <c r="A72" s="6" t="s">
        <v>607</v>
      </c>
      <c r="B72" s="7" t="s">
        <v>608</v>
      </c>
    </row>
    <row r="73" spans="1:2">
      <c r="A73" s="6" t="s">
        <v>609</v>
      </c>
      <c r="B73" s="7" t="s">
        <v>610</v>
      </c>
    </row>
    <row r="74" spans="1:2" ht="26.4">
      <c r="A74" s="6" t="s">
        <v>611</v>
      </c>
      <c r="B74" s="7" t="s">
        <v>612</v>
      </c>
    </row>
    <row r="75" spans="1:2">
      <c r="A75" s="6" t="s">
        <v>613</v>
      </c>
      <c r="B75" s="7" t="s">
        <v>614</v>
      </c>
    </row>
    <row r="76" spans="1:2">
      <c r="A76" s="6" t="s">
        <v>615</v>
      </c>
      <c r="B76" s="7" t="s">
        <v>616</v>
      </c>
    </row>
    <row r="77" spans="1:2">
      <c r="A77" s="6" t="s">
        <v>617</v>
      </c>
      <c r="B77" s="7" t="s">
        <v>618</v>
      </c>
    </row>
    <row r="78" spans="1:2">
      <c r="A78" s="6" t="s">
        <v>619</v>
      </c>
      <c r="B78" s="7" t="s">
        <v>620</v>
      </c>
    </row>
    <row r="79" spans="1:2" ht="26.4">
      <c r="A79" s="6" t="s">
        <v>621</v>
      </c>
      <c r="B79" s="7" t="s">
        <v>622</v>
      </c>
    </row>
    <row r="80" spans="1:2">
      <c r="A80" s="6" t="s">
        <v>623</v>
      </c>
      <c r="B80" s="7" t="s">
        <v>624</v>
      </c>
    </row>
    <row r="81" spans="1:2" ht="26.4">
      <c r="A81" s="6" t="s">
        <v>625</v>
      </c>
      <c r="B81" s="7" t="s">
        <v>626</v>
      </c>
    </row>
    <row r="82" spans="1:2">
      <c r="A82" s="6" t="s">
        <v>627</v>
      </c>
      <c r="B82" s="7" t="s">
        <v>628</v>
      </c>
    </row>
    <row r="83" spans="1:2">
      <c r="A83" s="6" t="s">
        <v>629</v>
      </c>
      <c r="B83" s="7" t="s">
        <v>630</v>
      </c>
    </row>
    <row r="84" spans="1:2">
      <c r="A84" s="6" t="s">
        <v>631</v>
      </c>
      <c r="B84" s="7" t="s">
        <v>632</v>
      </c>
    </row>
    <row r="85" spans="1:2">
      <c r="A85" s="6" t="s">
        <v>633</v>
      </c>
      <c r="B85" s="7" t="s">
        <v>634</v>
      </c>
    </row>
    <row r="86" spans="1:2">
      <c r="A86" s="6" t="s">
        <v>635</v>
      </c>
      <c r="B86" s="7" t="s">
        <v>636</v>
      </c>
    </row>
    <row r="87" spans="1:2">
      <c r="A87" s="6" t="s">
        <v>637</v>
      </c>
      <c r="B87" s="7" t="s">
        <v>638</v>
      </c>
    </row>
    <row r="88" spans="1:2">
      <c r="A88" s="6" t="s">
        <v>639</v>
      </c>
      <c r="B88" s="7" t="s">
        <v>640</v>
      </c>
    </row>
    <row r="89" spans="1:2" ht="26.4">
      <c r="A89" s="6" t="s">
        <v>641</v>
      </c>
      <c r="B89" s="7" t="s">
        <v>642</v>
      </c>
    </row>
    <row r="90" spans="1:2" ht="26.4">
      <c r="A90" s="6" t="s">
        <v>643</v>
      </c>
      <c r="B90" s="7" t="s">
        <v>644</v>
      </c>
    </row>
    <row r="91" spans="1:2">
      <c r="A91" s="6" t="s">
        <v>645</v>
      </c>
      <c r="B91" s="7" t="s">
        <v>646</v>
      </c>
    </row>
    <row r="92" spans="1:2">
      <c r="A92" s="6" t="s">
        <v>647</v>
      </c>
      <c r="B92" s="7" t="s">
        <v>648</v>
      </c>
    </row>
    <row r="93" spans="1:2" ht="26.4">
      <c r="A93" s="6" t="s">
        <v>649</v>
      </c>
      <c r="B93" s="7" t="s">
        <v>650</v>
      </c>
    </row>
    <row r="94" spans="1:2" ht="26.4">
      <c r="A94" s="6" t="s">
        <v>651</v>
      </c>
      <c r="B94" s="7" t="s">
        <v>652</v>
      </c>
    </row>
    <row r="95" spans="1:2">
      <c r="A95" s="6" t="s">
        <v>653</v>
      </c>
      <c r="B95" s="7" t="s">
        <v>654</v>
      </c>
    </row>
    <row r="96" spans="1:2">
      <c r="A96" s="6" t="s">
        <v>655</v>
      </c>
      <c r="B96" s="7" t="s">
        <v>656</v>
      </c>
    </row>
    <row r="97" spans="1:2">
      <c r="A97" s="6" t="s">
        <v>657</v>
      </c>
      <c r="B97" s="7" t="s">
        <v>658</v>
      </c>
    </row>
    <row r="98" spans="1:2" ht="26.4">
      <c r="A98" s="6" t="s">
        <v>659</v>
      </c>
      <c r="B98" s="7" t="s">
        <v>660</v>
      </c>
    </row>
    <row r="99" spans="1:2" ht="26.4">
      <c r="A99" s="6" t="s">
        <v>661</v>
      </c>
      <c r="B99" s="7" t="s">
        <v>662</v>
      </c>
    </row>
    <row r="100" spans="1:2" ht="26.4">
      <c r="A100" s="6" t="s">
        <v>663</v>
      </c>
      <c r="B100" s="7" t="s">
        <v>664</v>
      </c>
    </row>
    <row r="101" spans="1:2">
      <c r="A101" s="6" t="s">
        <v>665</v>
      </c>
      <c r="B101" s="7" t="s">
        <v>666</v>
      </c>
    </row>
    <row r="102" spans="1:2" ht="26.4">
      <c r="A102" s="6" t="s">
        <v>667</v>
      </c>
      <c r="B102" s="7" t="s">
        <v>668</v>
      </c>
    </row>
    <row r="103" spans="1:2">
      <c r="A103" s="6" t="s">
        <v>669</v>
      </c>
      <c r="B103" s="7" t="s">
        <v>670</v>
      </c>
    </row>
    <row r="104" spans="1:2">
      <c r="A104" s="6" t="s">
        <v>671</v>
      </c>
      <c r="B104" s="7" t="s">
        <v>672</v>
      </c>
    </row>
    <row r="105" spans="1:2">
      <c r="A105" s="6" t="s">
        <v>673</v>
      </c>
      <c r="B105" s="7" t="s">
        <v>674</v>
      </c>
    </row>
    <row r="106" spans="1:2" ht="26.4">
      <c r="A106" s="6" t="s">
        <v>675</v>
      </c>
      <c r="B106" s="7" t="s">
        <v>676</v>
      </c>
    </row>
    <row r="107" spans="1:2">
      <c r="A107" s="6" t="s">
        <v>677</v>
      </c>
      <c r="B107" s="7" t="s">
        <v>678</v>
      </c>
    </row>
    <row r="108" spans="1:2">
      <c r="A108" s="6" t="s">
        <v>679</v>
      </c>
      <c r="B108" s="7" t="s">
        <v>680</v>
      </c>
    </row>
    <row r="109" spans="1:2" ht="26.4">
      <c r="A109" s="6" t="s">
        <v>681</v>
      </c>
      <c r="B109" s="7" t="s">
        <v>682</v>
      </c>
    </row>
    <row r="110" spans="1:2" ht="26.4">
      <c r="A110" s="6" t="s">
        <v>683</v>
      </c>
      <c r="B110" s="7" t="s">
        <v>684</v>
      </c>
    </row>
    <row r="111" spans="1:2" ht="26.4">
      <c r="A111" s="6" t="s">
        <v>685</v>
      </c>
      <c r="B111" s="7" t="s">
        <v>686</v>
      </c>
    </row>
    <row r="112" spans="1:2">
      <c r="A112" s="6" t="s">
        <v>687</v>
      </c>
      <c r="B112" s="7" t="s">
        <v>688</v>
      </c>
    </row>
    <row r="113" spans="1:2">
      <c r="A113" s="6" t="s">
        <v>689</v>
      </c>
      <c r="B113" s="7" t="s">
        <v>690</v>
      </c>
    </row>
    <row r="114" spans="1:2">
      <c r="A114" s="6" t="s">
        <v>691</v>
      </c>
      <c r="B114" s="7" t="s">
        <v>692</v>
      </c>
    </row>
    <row r="115" spans="1:2">
      <c r="A115" s="6" t="s">
        <v>693</v>
      </c>
      <c r="B115" s="7" t="s">
        <v>694</v>
      </c>
    </row>
    <row r="116" spans="1:2">
      <c r="A116" s="6" t="s">
        <v>695</v>
      </c>
      <c r="B116" s="7" t="s">
        <v>696</v>
      </c>
    </row>
    <row r="117" spans="1:2">
      <c r="A117" s="6" t="s">
        <v>697</v>
      </c>
      <c r="B117" s="7" t="s">
        <v>698</v>
      </c>
    </row>
    <row r="118" spans="1:2" ht="26.4">
      <c r="A118" s="6" t="s">
        <v>699</v>
      </c>
      <c r="B118" s="7" t="s">
        <v>700</v>
      </c>
    </row>
    <row r="119" spans="1:2" ht="26.4">
      <c r="A119" s="6" t="s">
        <v>701</v>
      </c>
      <c r="B119" s="7" t="s">
        <v>702</v>
      </c>
    </row>
    <row r="120" spans="1:2" ht="26.4">
      <c r="A120" s="6" t="s">
        <v>703</v>
      </c>
      <c r="B120" s="7" t="s">
        <v>704</v>
      </c>
    </row>
    <row r="121" spans="1:2">
      <c r="A121" s="6" t="s">
        <v>705</v>
      </c>
      <c r="B121" s="7" t="s">
        <v>706</v>
      </c>
    </row>
    <row r="122" spans="1:2" ht="26.4">
      <c r="A122" s="6" t="s">
        <v>707</v>
      </c>
      <c r="B122" s="7" t="s">
        <v>708</v>
      </c>
    </row>
    <row r="123" spans="1:2">
      <c r="A123" s="6" t="s">
        <v>709</v>
      </c>
      <c r="B123" s="7" t="s">
        <v>710</v>
      </c>
    </row>
    <row r="124" spans="1:2" ht="26.4">
      <c r="A124" s="6" t="s">
        <v>711</v>
      </c>
      <c r="B124" s="7" t="s">
        <v>712</v>
      </c>
    </row>
    <row r="125" spans="1:2" ht="26.4">
      <c r="A125" s="6" t="s">
        <v>713</v>
      </c>
      <c r="B125" s="7" t="s">
        <v>714</v>
      </c>
    </row>
    <row r="126" spans="1:2">
      <c r="A126" s="6" t="s">
        <v>715</v>
      </c>
      <c r="B126" s="7" t="s">
        <v>716</v>
      </c>
    </row>
    <row r="127" spans="1:2">
      <c r="A127" s="6" t="s">
        <v>717</v>
      </c>
      <c r="B127" s="7" t="s">
        <v>718</v>
      </c>
    </row>
    <row r="128" spans="1:2" ht="26.4">
      <c r="A128" s="6" t="s">
        <v>719</v>
      </c>
      <c r="B128" s="7" t="s">
        <v>720</v>
      </c>
    </row>
    <row r="129" spans="1:2">
      <c r="A129" s="6" t="s">
        <v>721</v>
      </c>
      <c r="B129" s="7" t="s">
        <v>722</v>
      </c>
    </row>
    <row r="130" spans="1:2">
      <c r="A130" s="6" t="s">
        <v>723</v>
      </c>
      <c r="B130" s="7" t="s">
        <v>724</v>
      </c>
    </row>
    <row r="131" spans="1:2">
      <c r="A131" s="6" t="s">
        <v>725</v>
      </c>
      <c r="B131" s="7" t="s">
        <v>726</v>
      </c>
    </row>
    <row r="132" spans="1:2">
      <c r="A132" s="6" t="s">
        <v>727</v>
      </c>
      <c r="B132" s="7" t="s">
        <v>728</v>
      </c>
    </row>
    <row r="133" spans="1:2">
      <c r="A133" s="6" t="s">
        <v>729</v>
      </c>
      <c r="B133" s="7" t="s">
        <v>730</v>
      </c>
    </row>
    <row r="134" spans="1:2">
      <c r="A134" s="6" t="s">
        <v>731</v>
      </c>
      <c r="B134" s="7" t="s">
        <v>732</v>
      </c>
    </row>
    <row r="135" spans="1:2">
      <c r="A135" s="6" t="s">
        <v>733</v>
      </c>
      <c r="B135" s="7" t="s">
        <v>734</v>
      </c>
    </row>
    <row r="136" spans="1:2">
      <c r="A136" s="6" t="s">
        <v>735</v>
      </c>
      <c r="B136" s="7" t="s">
        <v>736</v>
      </c>
    </row>
    <row r="137" spans="1:2">
      <c r="A137" s="6" t="s">
        <v>737</v>
      </c>
      <c r="B137" s="7" t="s">
        <v>738</v>
      </c>
    </row>
    <row r="138" spans="1:2">
      <c r="A138" s="6" t="s">
        <v>739</v>
      </c>
      <c r="B138" s="7" t="s">
        <v>740</v>
      </c>
    </row>
    <row r="139" spans="1:2">
      <c r="A139" s="6" t="s">
        <v>741</v>
      </c>
      <c r="B139" s="7" t="s">
        <v>742</v>
      </c>
    </row>
    <row r="140" spans="1:2">
      <c r="A140" s="6" t="s">
        <v>743</v>
      </c>
      <c r="B140" s="7" t="s">
        <v>744</v>
      </c>
    </row>
    <row r="141" spans="1:2" ht="26.4">
      <c r="A141" s="6" t="s">
        <v>745</v>
      </c>
      <c r="B141" s="7" t="s">
        <v>746</v>
      </c>
    </row>
    <row r="142" spans="1:2">
      <c r="A142" s="6" t="s">
        <v>747</v>
      </c>
      <c r="B142" s="7" t="s">
        <v>748</v>
      </c>
    </row>
    <row r="143" spans="1:2">
      <c r="A143" s="6" t="s">
        <v>749</v>
      </c>
      <c r="B143" s="7" t="s">
        <v>750</v>
      </c>
    </row>
    <row r="144" spans="1:2">
      <c r="A144" s="6" t="s">
        <v>751</v>
      </c>
      <c r="B144" s="7" t="s">
        <v>752</v>
      </c>
    </row>
    <row r="145" spans="1:2">
      <c r="A145" s="6" t="s">
        <v>753</v>
      </c>
      <c r="B145" s="7" t="s">
        <v>754</v>
      </c>
    </row>
    <row r="146" spans="1:2">
      <c r="A146" s="6" t="s">
        <v>755</v>
      </c>
      <c r="B146" s="7" t="s">
        <v>756</v>
      </c>
    </row>
    <row r="147" spans="1:2">
      <c r="A147" s="6" t="s">
        <v>757</v>
      </c>
      <c r="B147" s="7" t="s">
        <v>758</v>
      </c>
    </row>
    <row r="148" spans="1:2">
      <c r="A148" s="6" t="s">
        <v>759</v>
      </c>
      <c r="B148" s="7" t="s">
        <v>760</v>
      </c>
    </row>
    <row r="149" spans="1:2">
      <c r="A149" s="6" t="s">
        <v>761</v>
      </c>
      <c r="B149" s="7" t="s">
        <v>762</v>
      </c>
    </row>
    <row r="150" spans="1:2">
      <c r="A150" s="6" t="s">
        <v>763</v>
      </c>
      <c r="B150" s="7" t="s">
        <v>764</v>
      </c>
    </row>
    <row r="151" spans="1:2">
      <c r="A151" s="6" t="s">
        <v>765</v>
      </c>
      <c r="B151" s="7" t="s">
        <v>766</v>
      </c>
    </row>
    <row r="152" spans="1:2">
      <c r="A152" s="6" t="s">
        <v>767</v>
      </c>
      <c r="B152" s="7" t="s">
        <v>768</v>
      </c>
    </row>
    <row r="153" spans="1:2">
      <c r="A153" s="6" t="s">
        <v>769</v>
      </c>
      <c r="B153" s="7" t="s">
        <v>770</v>
      </c>
    </row>
    <row r="154" spans="1:2">
      <c r="A154" s="6" t="s">
        <v>771</v>
      </c>
      <c r="B154" s="7" t="s">
        <v>772</v>
      </c>
    </row>
    <row r="155" spans="1:2">
      <c r="A155" s="6" t="s">
        <v>773</v>
      </c>
      <c r="B155" s="7" t="s">
        <v>774</v>
      </c>
    </row>
    <row r="156" spans="1:2">
      <c r="A156" s="6" t="s">
        <v>775</v>
      </c>
      <c r="B156" s="7" t="s">
        <v>776</v>
      </c>
    </row>
    <row r="157" spans="1:2">
      <c r="A157" s="6" t="s">
        <v>777</v>
      </c>
      <c r="B157" s="7" t="s">
        <v>778</v>
      </c>
    </row>
    <row r="158" spans="1:2">
      <c r="A158" s="6" t="s">
        <v>779</v>
      </c>
      <c r="B158" s="7" t="s">
        <v>780</v>
      </c>
    </row>
    <row r="159" spans="1:2">
      <c r="A159" s="6" t="s">
        <v>781</v>
      </c>
      <c r="B159" s="7" t="s">
        <v>782</v>
      </c>
    </row>
    <row r="160" spans="1:2" ht="26.4">
      <c r="A160" s="6" t="s">
        <v>783</v>
      </c>
      <c r="B160" s="7" t="s">
        <v>784</v>
      </c>
    </row>
    <row r="161" spans="1:2">
      <c r="A161" s="6" t="s">
        <v>785</v>
      </c>
      <c r="B161" s="7" t="s">
        <v>786</v>
      </c>
    </row>
    <row r="162" spans="1:2">
      <c r="A162" s="6" t="s">
        <v>787</v>
      </c>
      <c r="B162" s="7" t="s">
        <v>788</v>
      </c>
    </row>
    <row r="163" spans="1:2">
      <c r="A163" s="6" t="s">
        <v>789</v>
      </c>
      <c r="B163" s="7" t="s">
        <v>790</v>
      </c>
    </row>
    <row r="164" spans="1:2">
      <c r="A164" s="6" t="s">
        <v>791</v>
      </c>
      <c r="B164" s="7" t="s">
        <v>792</v>
      </c>
    </row>
    <row r="165" spans="1:2">
      <c r="A165" s="6" t="s">
        <v>793</v>
      </c>
      <c r="B165" s="7" t="s">
        <v>794</v>
      </c>
    </row>
    <row r="166" spans="1:2" ht="26.4">
      <c r="A166" s="6" t="s">
        <v>795</v>
      </c>
      <c r="B166" s="7" t="s">
        <v>796</v>
      </c>
    </row>
    <row r="167" spans="1:2">
      <c r="A167" s="6" t="s">
        <v>797</v>
      </c>
      <c r="B167" s="7" t="s">
        <v>798</v>
      </c>
    </row>
    <row r="168" spans="1:2">
      <c r="A168" s="6" t="s">
        <v>799</v>
      </c>
      <c r="B168" s="7" t="s">
        <v>800</v>
      </c>
    </row>
    <row r="169" spans="1:2">
      <c r="A169" s="6" t="s">
        <v>801</v>
      </c>
      <c r="B169" s="7" t="s">
        <v>802</v>
      </c>
    </row>
    <row r="170" spans="1:2">
      <c r="A170" s="6" t="s">
        <v>803</v>
      </c>
      <c r="B170" s="7" t="s">
        <v>804</v>
      </c>
    </row>
    <row r="171" spans="1:2">
      <c r="A171" s="6" t="s">
        <v>805</v>
      </c>
      <c r="B171" s="7" t="s">
        <v>806</v>
      </c>
    </row>
    <row r="172" spans="1:2">
      <c r="A172" s="6" t="s">
        <v>807</v>
      </c>
      <c r="B172" s="7" t="s">
        <v>808</v>
      </c>
    </row>
    <row r="173" spans="1:2">
      <c r="A173" s="6" t="s">
        <v>809</v>
      </c>
      <c r="B173" s="7" t="s">
        <v>810</v>
      </c>
    </row>
    <row r="174" spans="1:2">
      <c r="A174" s="6" t="s">
        <v>811</v>
      </c>
      <c r="B174" s="7" t="s">
        <v>812</v>
      </c>
    </row>
    <row r="175" spans="1:2">
      <c r="A175" s="6" t="s">
        <v>813</v>
      </c>
      <c r="B175" s="7" t="s">
        <v>814</v>
      </c>
    </row>
    <row r="176" spans="1:2" ht="26.4">
      <c r="A176" s="6" t="s">
        <v>815</v>
      </c>
      <c r="B176" s="7" t="s">
        <v>816</v>
      </c>
    </row>
    <row r="177" spans="1:2" ht="26.4">
      <c r="A177" s="6" t="s">
        <v>817</v>
      </c>
      <c r="B177" s="7" t="s">
        <v>818</v>
      </c>
    </row>
    <row r="178" spans="1:2">
      <c r="A178" s="6" t="s">
        <v>819</v>
      </c>
      <c r="B178" s="7" t="s">
        <v>820</v>
      </c>
    </row>
    <row r="179" spans="1:2" ht="26.4">
      <c r="A179" s="6" t="s">
        <v>821</v>
      </c>
      <c r="B179" s="7" t="s">
        <v>822</v>
      </c>
    </row>
    <row r="180" spans="1:2" ht="26.4">
      <c r="A180" s="6" t="s">
        <v>823</v>
      </c>
      <c r="B180" s="7" t="s">
        <v>824</v>
      </c>
    </row>
    <row r="181" spans="1:2" ht="26.4">
      <c r="A181" s="6" t="s">
        <v>825</v>
      </c>
      <c r="B181" s="7" t="s">
        <v>826</v>
      </c>
    </row>
    <row r="182" spans="1:2" ht="26.4">
      <c r="A182" s="6" t="s">
        <v>827</v>
      </c>
      <c r="B182" s="7" t="s">
        <v>828</v>
      </c>
    </row>
    <row r="183" spans="1:2">
      <c r="A183" s="6" t="s">
        <v>829</v>
      </c>
      <c r="B183" s="7" t="s">
        <v>830</v>
      </c>
    </row>
    <row r="184" spans="1:2">
      <c r="A184" s="6" t="s">
        <v>831</v>
      </c>
      <c r="B184" s="7" t="s">
        <v>832</v>
      </c>
    </row>
    <row r="185" spans="1:2">
      <c r="A185" s="6" t="s">
        <v>833</v>
      </c>
      <c r="B185" s="7" t="s">
        <v>834</v>
      </c>
    </row>
    <row r="186" spans="1:2" ht="26.4">
      <c r="A186" s="6" t="s">
        <v>835</v>
      </c>
      <c r="B186" s="7" t="s">
        <v>836</v>
      </c>
    </row>
    <row r="187" spans="1:2" ht="26.4">
      <c r="A187" s="6" t="s">
        <v>837</v>
      </c>
      <c r="B187" s="7" t="s">
        <v>838</v>
      </c>
    </row>
    <row r="188" spans="1:2" ht="26.4">
      <c r="A188" s="6" t="s">
        <v>839</v>
      </c>
      <c r="B188" s="7" t="s">
        <v>840</v>
      </c>
    </row>
    <row r="189" spans="1:2">
      <c r="A189" s="6" t="s">
        <v>841</v>
      </c>
      <c r="B189" s="7" t="s">
        <v>842</v>
      </c>
    </row>
    <row r="190" spans="1:2" ht="26.4">
      <c r="A190" s="6" t="s">
        <v>843</v>
      </c>
      <c r="B190" s="7" t="s">
        <v>844</v>
      </c>
    </row>
    <row r="191" spans="1:2">
      <c r="A191" s="6" t="s">
        <v>845</v>
      </c>
      <c r="B191" s="7" t="s">
        <v>846</v>
      </c>
    </row>
    <row r="192" spans="1:2">
      <c r="A192" s="6" t="s">
        <v>847</v>
      </c>
      <c r="B192" s="7" t="s">
        <v>848</v>
      </c>
    </row>
    <row r="193" spans="1:2">
      <c r="A193" s="6" t="s">
        <v>849</v>
      </c>
      <c r="B193" s="7" t="s">
        <v>850</v>
      </c>
    </row>
    <row r="194" spans="1:2">
      <c r="A194" s="6" t="s">
        <v>851</v>
      </c>
      <c r="B194" s="7" t="s">
        <v>852</v>
      </c>
    </row>
    <row r="195" spans="1:2">
      <c r="A195" s="6" t="s">
        <v>853</v>
      </c>
      <c r="B195" s="7" t="s">
        <v>854</v>
      </c>
    </row>
    <row r="196" spans="1:2">
      <c r="A196" s="6" t="s">
        <v>855</v>
      </c>
      <c r="B196" s="7" t="s">
        <v>856</v>
      </c>
    </row>
    <row r="197" spans="1:2" ht="26.4">
      <c r="A197" s="6" t="s">
        <v>857</v>
      </c>
      <c r="B197" s="7" t="s">
        <v>858</v>
      </c>
    </row>
    <row r="198" spans="1:2">
      <c r="A198" s="6" t="s">
        <v>859</v>
      </c>
      <c r="B198" s="7" t="s">
        <v>860</v>
      </c>
    </row>
    <row r="199" spans="1:2">
      <c r="A199" s="6" t="s">
        <v>861</v>
      </c>
      <c r="B199" s="7" t="s">
        <v>862</v>
      </c>
    </row>
    <row r="200" spans="1:2">
      <c r="A200" s="6" t="s">
        <v>863</v>
      </c>
      <c r="B200" s="7" t="s">
        <v>864</v>
      </c>
    </row>
    <row r="201" spans="1:2">
      <c r="A201" s="6" t="s">
        <v>865</v>
      </c>
      <c r="B201" s="7" t="s">
        <v>866</v>
      </c>
    </row>
    <row r="202" spans="1:2">
      <c r="A202" s="6" t="s">
        <v>867</v>
      </c>
      <c r="B202" s="7" t="s">
        <v>868</v>
      </c>
    </row>
    <row r="203" spans="1:2">
      <c r="A203" s="6" t="s">
        <v>869</v>
      </c>
      <c r="B203" s="7" t="s">
        <v>870</v>
      </c>
    </row>
    <row r="204" spans="1:2">
      <c r="A204" s="6" t="s">
        <v>871</v>
      </c>
      <c r="B204" s="7" t="s">
        <v>872</v>
      </c>
    </row>
    <row r="205" spans="1:2">
      <c r="A205" s="6" t="s">
        <v>873</v>
      </c>
      <c r="B205" s="7" t="s">
        <v>874</v>
      </c>
    </row>
    <row r="206" spans="1:2" ht="26.4">
      <c r="A206" s="6" t="s">
        <v>875</v>
      </c>
      <c r="B206" s="7" t="s">
        <v>876</v>
      </c>
    </row>
    <row r="207" spans="1:2">
      <c r="A207" s="6" t="s">
        <v>877</v>
      </c>
      <c r="B207" s="7" t="s">
        <v>878</v>
      </c>
    </row>
    <row r="208" spans="1:2">
      <c r="A208" s="6" t="s">
        <v>879</v>
      </c>
      <c r="B208" s="7" t="s">
        <v>880</v>
      </c>
    </row>
    <row r="209" spans="1:2">
      <c r="A209" s="6" t="s">
        <v>881</v>
      </c>
      <c r="B209" s="7" t="s">
        <v>882</v>
      </c>
    </row>
    <row r="210" spans="1:2">
      <c r="A210" s="6" t="s">
        <v>883</v>
      </c>
      <c r="B210" s="7" t="s">
        <v>884</v>
      </c>
    </row>
    <row r="211" spans="1:2">
      <c r="A211" s="6" t="s">
        <v>885</v>
      </c>
      <c r="B211" s="7" t="s">
        <v>886</v>
      </c>
    </row>
    <row r="212" spans="1:2">
      <c r="A212" s="6" t="s">
        <v>887</v>
      </c>
      <c r="B212" s="7" t="s">
        <v>888</v>
      </c>
    </row>
    <row r="213" spans="1:2">
      <c r="A213" s="6" t="s">
        <v>889</v>
      </c>
      <c r="B213" s="7" t="s">
        <v>890</v>
      </c>
    </row>
    <row r="214" spans="1:2">
      <c r="A214" s="6" t="s">
        <v>891</v>
      </c>
      <c r="B214" s="7" t="s">
        <v>892</v>
      </c>
    </row>
    <row r="215" spans="1:2" ht="26.4">
      <c r="A215" s="6" t="s">
        <v>893</v>
      </c>
      <c r="B215" s="7" t="s">
        <v>894</v>
      </c>
    </row>
    <row r="216" spans="1:2" ht="26.4">
      <c r="A216" s="6" t="s">
        <v>895</v>
      </c>
      <c r="B216" s="7" t="s">
        <v>896</v>
      </c>
    </row>
    <row r="217" spans="1:2">
      <c r="A217" s="6" t="s">
        <v>897</v>
      </c>
      <c r="B217" s="7" t="s">
        <v>898</v>
      </c>
    </row>
    <row r="218" spans="1:2">
      <c r="A218" s="6" t="s">
        <v>899</v>
      </c>
      <c r="B218" s="7" t="s">
        <v>900</v>
      </c>
    </row>
    <row r="219" spans="1:2">
      <c r="A219" s="6" t="s">
        <v>901</v>
      </c>
      <c r="B219" s="7" t="s">
        <v>902</v>
      </c>
    </row>
    <row r="220" spans="1:2">
      <c r="A220" s="6" t="s">
        <v>903</v>
      </c>
      <c r="B220" s="7" t="s">
        <v>904</v>
      </c>
    </row>
    <row r="221" spans="1:2">
      <c r="A221" s="6" t="s">
        <v>905</v>
      </c>
      <c r="B221" s="7" t="s">
        <v>906</v>
      </c>
    </row>
    <row r="222" spans="1:2">
      <c r="A222" s="6" t="s">
        <v>907</v>
      </c>
      <c r="B222" s="7" t="s">
        <v>908</v>
      </c>
    </row>
    <row r="223" spans="1:2" ht="26.4">
      <c r="A223" s="6" t="s">
        <v>909</v>
      </c>
      <c r="B223" s="7" t="s">
        <v>910</v>
      </c>
    </row>
    <row r="224" spans="1:2">
      <c r="A224" s="6" t="s">
        <v>911</v>
      </c>
      <c r="B224" s="7" t="s">
        <v>912</v>
      </c>
    </row>
    <row r="225" spans="1:2">
      <c r="A225" s="6" t="s">
        <v>913</v>
      </c>
      <c r="B225" s="7" t="s">
        <v>914</v>
      </c>
    </row>
    <row r="226" spans="1:2">
      <c r="A226" s="6" t="s">
        <v>915</v>
      </c>
      <c r="B226" s="7" t="s">
        <v>916</v>
      </c>
    </row>
    <row r="227" spans="1:2">
      <c r="A227" s="6" t="s">
        <v>917</v>
      </c>
      <c r="B227" s="7" t="s">
        <v>918</v>
      </c>
    </row>
    <row r="228" spans="1:2">
      <c r="A228" s="6" t="s">
        <v>919</v>
      </c>
      <c r="B228" s="7" t="s">
        <v>920</v>
      </c>
    </row>
    <row r="229" spans="1:2">
      <c r="A229" s="6" t="s">
        <v>921</v>
      </c>
      <c r="B229" s="7" t="s">
        <v>922</v>
      </c>
    </row>
    <row r="230" spans="1:2">
      <c r="A230" s="6" t="s">
        <v>923</v>
      </c>
      <c r="B230" s="7" t="s">
        <v>924</v>
      </c>
    </row>
    <row r="231" spans="1:2">
      <c r="A231" s="6" t="s">
        <v>925</v>
      </c>
      <c r="B231" s="7" t="s">
        <v>926</v>
      </c>
    </row>
    <row r="232" spans="1:2">
      <c r="A232" s="6" t="s">
        <v>927</v>
      </c>
      <c r="B232" s="7" t="s">
        <v>928</v>
      </c>
    </row>
    <row r="233" spans="1:2">
      <c r="A233" s="6" t="s">
        <v>929</v>
      </c>
      <c r="B233" s="7" t="s">
        <v>930</v>
      </c>
    </row>
    <row r="234" spans="1:2" ht="26.4">
      <c r="A234" s="6" t="s">
        <v>931</v>
      </c>
      <c r="B234" s="7" t="s">
        <v>932</v>
      </c>
    </row>
    <row r="235" spans="1:2">
      <c r="A235" s="6" t="s">
        <v>933</v>
      </c>
      <c r="B235" s="7" t="s">
        <v>934</v>
      </c>
    </row>
    <row r="236" spans="1:2">
      <c r="A236" s="6" t="s">
        <v>935</v>
      </c>
      <c r="B236" s="7" t="s">
        <v>936</v>
      </c>
    </row>
    <row r="237" spans="1:2" ht="26.4">
      <c r="A237" s="6" t="s">
        <v>937</v>
      </c>
      <c r="B237" s="7" t="s">
        <v>938</v>
      </c>
    </row>
    <row r="238" spans="1:2">
      <c r="A238" s="6" t="s">
        <v>939</v>
      </c>
      <c r="B238" s="7" t="s">
        <v>940</v>
      </c>
    </row>
    <row r="239" spans="1:2">
      <c r="A239" s="6" t="s">
        <v>941</v>
      </c>
      <c r="B239" s="7" t="s">
        <v>942</v>
      </c>
    </row>
    <row r="240" spans="1:2">
      <c r="A240" s="6" t="s">
        <v>943</v>
      </c>
      <c r="B240" s="7" t="s">
        <v>944</v>
      </c>
    </row>
    <row r="241" spans="1:2" ht="26.4">
      <c r="A241" s="6" t="s">
        <v>945</v>
      </c>
      <c r="B241" s="7" t="s">
        <v>946</v>
      </c>
    </row>
    <row r="242" spans="1:2">
      <c r="A242" s="6" t="s">
        <v>947</v>
      </c>
      <c r="B242" s="7" t="s">
        <v>948</v>
      </c>
    </row>
    <row r="243" spans="1:2" ht="26.4">
      <c r="A243" s="6" t="s">
        <v>949</v>
      </c>
      <c r="B243" s="7" t="s">
        <v>950</v>
      </c>
    </row>
    <row r="244" spans="1:2">
      <c r="A244" s="6" t="s">
        <v>951</v>
      </c>
      <c r="B244" s="7" t="s">
        <v>952</v>
      </c>
    </row>
    <row r="245" spans="1:2">
      <c r="A245" s="6" t="s">
        <v>953</v>
      </c>
      <c r="B245" s="7" t="s">
        <v>954</v>
      </c>
    </row>
    <row r="246" spans="1:2">
      <c r="A246" s="6" t="s">
        <v>955</v>
      </c>
      <c r="B246" s="7" t="s">
        <v>956</v>
      </c>
    </row>
    <row r="247" spans="1:2">
      <c r="A247" s="6" t="s">
        <v>957</v>
      </c>
      <c r="B247" s="7" t="s">
        <v>958</v>
      </c>
    </row>
    <row r="248" spans="1:2" ht="26.4">
      <c r="A248" s="6" t="s">
        <v>959</v>
      </c>
      <c r="B248" s="7" t="s">
        <v>960</v>
      </c>
    </row>
    <row r="249" spans="1:2">
      <c r="A249" s="6" t="s">
        <v>961</v>
      </c>
      <c r="B249" s="7" t="s">
        <v>962</v>
      </c>
    </row>
    <row r="250" spans="1:2" ht="26.4">
      <c r="A250" s="6" t="s">
        <v>963</v>
      </c>
      <c r="B250" s="7" t="s">
        <v>964</v>
      </c>
    </row>
    <row r="251" spans="1:2">
      <c r="A251" s="6" t="s">
        <v>965</v>
      </c>
      <c r="B251" s="7" t="s">
        <v>966</v>
      </c>
    </row>
    <row r="252" spans="1:2">
      <c r="A252" s="6" t="s">
        <v>967</v>
      </c>
      <c r="B252" s="7" t="s">
        <v>968</v>
      </c>
    </row>
    <row r="253" spans="1:2">
      <c r="A253" s="6" t="s">
        <v>969</v>
      </c>
      <c r="B253" s="7" t="s">
        <v>970</v>
      </c>
    </row>
    <row r="254" spans="1:2">
      <c r="A254" s="6" t="s">
        <v>971</v>
      </c>
      <c r="B254" s="7" t="s">
        <v>972</v>
      </c>
    </row>
    <row r="255" spans="1:2">
      <c r="A255" s="6" t="s">
        <v>973</v>
      </c>
      <c r="B255" s="7" t="s">
        <v>974</v>
      </c>
    </row>
    <row r="256" spans="1:2">
      <c r="A256" s="6" t="s">
        <v>975</v>
      </c>
      <c r="B256" s="7" t="s">
        <v>976</v>
      </c>
    </row>
    <row r="257" spans="1:2">
      <c r="A257" s="6" t="s">
        <v>977</v>
      </c>
      <c r="B257" s="7" t="s">
        <v>978</v>
      </c>
    </row>
    <row r="258" spans="1:2">
      <c r="A258" s="6" t="s">
        <v>979</v>
      </c>
      <c r="B258" s="7" t="s">
        <v>980</v>
      </c>
    </row>
    <row r="259" spans="1:2">
      <c r="A259" s="6" t="s">
        <v>981</v>
      </c>
      <c r="B259" s="7" t="s">
        <v>982</v>
      </c>
    </row>
    <row r="260" spans="1:2">
      <c r="A260" s="6" t="s">
        <v>983</v>
      </c>
      <c r="B260" s="7" t="s">
        <v>984</v>
      </c>
    </row>
    <row r="261" spans="1:2" ht="26.4">
      <c r="A261" s="6" t="s">
        <v>985</v>
      </c>
      <c r="B261" s="7" t="s">
        <v>986</v>
      </c>
    </row>
    <row r="262" spans="1:2">
      <c r="A262" s="6" t="s">
        <v>987</v>
      </c>
      <c r="B262" s="7" t="s">
        <v>988</v>
      </c>
    </row>
    <row r="263" spans="1:2">
      <c r="A263" s="6" t="s">
        <v>989</v>
      </c>
      <c r="B263" s="7" t="s">
        <v>990</v>
      </c>
    </row>
    <row r="264" spans="1:2">
      <c r="A264" s="6" t="s">
        <v>991</v>
      </c>
      <c r="B264" s="7" t="s">
        <v>992</v>
      </c>
    </row>
    <row r="265" spans="1:2" ht="26.4">
      <c r="A265" s="6" t="s">
        <v>993</v>
      </c>
      <c r="B265" s="7" t="s">
        <v>994</v>
      </c>
    </row>
    <row r="266" spans="1:2">
      <c r="A266" s="6" t="s">
        <v>995</v>
      </c>
      <c r="B266" s="7" t="s">
        <v>996</v>
      </c>
    </row>
    <row r="267" spans="1:2" ht="26.4">
      <c r="A267" s="6" t="s">
        <v>997</v>
      </c>
      <c r="B267" s="7" t="s">
        <v>998</v>
      </c>
    </row>
    <row r="268" spans="1:2">
      <c r="A268" s="6" t="s">
        <v>999</v>
      </c>
      <c r="B268" s="7" t="s">
        <v>1000</v>
      </c>
    </row>
    <row r="269" spans="1:2">
      <c r="A269" s="6" t="s">
        <v>1001</v>
      </c>
      <c r="B269" s="7" t="s">
        <v>1002</v>
      </c>
    </row>
    <row r="270" spans="1:2" ht="26.4">
      <c r="A270" s="6" t="s">
        <v>1003</v>
      </c>
      <c r="B270" s="7" t="s">
        <v>1004</v>
      </c>
    </row>
    <row r="271" spans="1:2">
      <c r="A271" s="6" t="s">
        <v>1005</v>
      </c>
      <c r="B271" s="7" t="s">
        <v>1006</v>
      </c>
    </row>
    <row r="272" spans="1:2" ht="26.4">
      <c r="A272" s="6" t="s">
        <v>1007</v>
      </c>
      <c r="B272" s="7" t="s">
        <v>1008</v>
      </c>
    </row>
    <row r="273" spans="1:2">
      <c r="A273" s="6" t="s">
        <v>1009</v>
      </c>
      <c r="B273" s="7" t="s">
        <v>1010</v>
      </c>
    </row>
    <row r="274" spans="1:2">
      <c r="A274" s="6" t="s">
        <v>1011</v>
      </c>
      <c r="B274" s="7" t="s">
        <v>1012</v>
      </c>
    </row>
    <row r="275" spans="1:2" ht="26.4">
      <c r="A275" s="6" t="s">
        <v>1013</v>
      </c>
      <c r="B275" s="7" t="s">
        <v>1014</v>
      </c>
    </row>
    <row r="276" spans="1:2">
      <c r="A276" s="6" t="s">
        <v>1015</v>
      </c>
      <c r="B276" s="7" t="s">
        <v>1016</v>
      </c>
    </row>
    <row r="277" spans="1:2">
      <c r="A277" s="6" t="s">
        <v>1017</v>
      </c>
      <c r="B277" s="7" t="s">
        <v>1018</v>
      </c>
    </row>
    <row r="278" spans="1:2">
      <c r="A278" s="6" t="s">
        <v>1019</v>
      </c>
      <c r="B278" s="7" t="s">
        <v>1020</v>
      </c>
    </row>
    <row r="279" spans="1:2">
      <c r="A279" s="6" t="s">
        <v>1021</v>
      </c>
      <c r="B279" s="7" t="s">
        <v>1022</v>
      </c>
    </row>
    <row r="280" spans="1:2">
      <c r="A280" s="6" t="s">
        <v>1023</v>
      </c>
      <c r="B280" s="7" t="s">
        <v>1024</v>
      </c>
    </row>
    <row r="281" spans="1:2">
      <c r="A281" s="6" t="s">
        <v>1025</v>
      </c>
      <c r="B281" s="7" t="s">
        <v>1026</v>
      </c>
    </row>
    <row r="282" spans="1:2">
      <c r="A282" s="6" t="s">
        <v>1027</v>
      </c>
      <c r="B282" s="7" t="s">
        <v>1028</v>
      </c>
    </row>
    <row r="283" spans="1:2">
      <c r="A283" s="6" t="s">
        <v>1029</v>
      </c>
      <c r="B283" s="7" t="s">
        <v>1030</v>
      </c>
    </row>
    <row r="284" spans="1:2">
      <c r="A284" s="6" t="s">
        <v>1031</v>
      </c>
      <c r="B284" s="7" t="s">
        <v>1032</v>
      </c>
    </row>
    <row r="285" spans="1:2">
      <c r="A285" s="6" t="s">
        <v>1033</v>
      </c>
      <c r="B285" s="7" t="s">
        <v>1034</v>
      </c>
    </row>
    <row r="286" spans="1:2">
      <c r="A286" s="6" t="s">
        <v>1035</v>
      </c>
      <c r="B286" s="7" t="s">
        <v>1036</v>
      </c>
    </row>
    <row r="287" spans="1:2">
      <c r="A287" s="6" t="s">
        <v>1037</v>
      </c>
      <c r="B287" s="7" t="s">
        <v>1038</v>
      </c>
    </row>
    <row r="288" spans="1:2">
      <c r="A288" s="6" t="s">
        <v>1039</v>
      </c>
      <c r="B288" s="7" t="s">
        <v>1040</v>
      </c>
    </row>
    <row r="289" spans="1:2">
      <c r="A289" s="6" t="s">
        <v>1041</v>
      </c>
      <c r="B289" s="7" t="s">
        <v>1042</v>
      </c>
    </row>
    <row r="290" spans="1:2" ht="26.4">
      <c r="A290" s="6" t="s">
        <v>1043</v>
      </c>
      <c r="B290" s="7" t="s">
        <v>1044</v>
      </c>
    </row>
    <row r="291" spans="1:2">
      <c r="A291" s="6" t="s">
        <v>1045</v>
      </c>
      <c r="B291" s="7" t="s">
        <v>1046</v>
      </c>
    </row>
    <row r="292" spans="1:2">
      <c r="A292" s="6" t="s">
        <v>1047</v>
      </c>
      <c r="B292" s="7" t="s">
        <v>1048</v>
      </c>
    </row>
    <row r="293" spans="1:2">
      <c r="A293" s="6" t="s">
        <v>1049</v>
      </c>
      <c r="B293" s="7" t="s">
        <v>1050</v>
      </c>
    </row>
    <row r="294" spans="1:2">
      <c r="A294" s="6" t="s">
        <v>1051</v>
      </c>
      <c r="B294" s="7" t="s">
        <v>1052</v>
      </c>
    </row>
    <row r="295" spans="1:2" ht="26.4">
      <c r="A295" s="6" t="s">
        <v>1053</v>
      </c>
      <c r="B295" s="7" t="s">
        <v>1054</v>
      </c>
    </row>
    <row r="296" spans="1:2">
      <c r="A296" s="6" t="s">
        <v>1055</v>
      </c>
      <c r="B296" s="7" t="s">
        <v>1056</v>
      </c>
    </row>
    <row r="297" spans="1:2" ht="26.4">
      <c r="A297" s="6" t="s">
        <v>1057</v>
      </c>
      <c r="B297" s="7" t="s">
        <v>1058</v>
      </c>
    </row>
    <row r="298" spans="1:2">
      <c r="A298" s="6" t="s">
        <v>1059</v>
      </c>
      <c r="B298" s="7" t="s">
        <v>1060</v>
      </c>
    </row>
    <row r="299" spans="1:2">
      <c r="A299" s="6" t="s">
        <v>1061</v>
      </c>
      <c r="B299" s="7" t="s">
        <v>1062</v>
      </c>
    </row>
    <row r="300" spans="1:2">
      <c r="A300" s="6" t="s">
        <v>1063</v>
      </c>
      <c r="B300" s="7" t="s">
        <v>1064</v>
      </c>
    </row>
    <row r="301" spans="1:2" ht="26.4">
      <c r="A301" s="6" t="s">
        <v>1065</v>
      </c>
      <c r="B301" s="7" t="s">
        <v>1066</v>
      </c>
    </row>
    <row r="302" spans="1:2">
      <c r="A302" s="6" t="s">
        <v>1067</v>
      </c>
      <c r="B302" s="7" t="s">
        <v>1068</v>
      </c>
    </row>
    <row r="303" spans="1:2" ht="26.4">
      <c r="A303" s="6" t="s">
        <v>1069</v>
      </c>
      <c r="B303" s="7" t="s">
        <v>1070</v>
      </c>
    </row>
    <row r="304" spans="1:2" ht="26.4">
      <c r="A304" s="6" t="s">
        <v>1071</v>
      </c>
      <c r="B304" s="7" t="s">
        <v>1072</v>
      </c>
    </row>
    <row r="305" spans="1:2">
      <c r="A305" s="6" t="s">
        <v>1073</v>
      </c>
      <c r="B305" s="7" t="s">
        <v>1074</v>
      </c>
    </row>
    <row r="306" spans="1:2">
      <c r="A306" s="6" t="s">
        <v>1075</v>
      </c>
      <c r="B306" s="7" t="s">
        <v>1076</v>
      </c>
    </row>
    <row r="307" spans="1:2">
      <c r="A307" s="6" t="s">
        <v>1077</v>
      </c>
      <c r="B307" s="7" t="s">
        <v>1078</v>
      </c>
    </row>
    <row r="308" spans="1:2">
      <c r="A308" s="6" t="s">
        <v>1079</v>
      </c>
      <c r="B308" s="7" t="s">
        <v>1080</v>
      </c>
    </row>
    <row r="309" spans="1:2">
      <c r="A309" s="6" t="s">
        <v>1081</v>
      </c>
      <c r="B309" s="7" t="s">
        <v>1082</v>
      </c>
    </row>
    <row r="310" spans="1:2">
      <c r="A310" s="6" t="s">
        <v>1083</v>
      </c>
      <c r="B310" s="7" t="s">
        <v>1084</v>
      </c>
    </row>
    <row r="311" spans="1:2" ht="26.4">
      <c r="A311" s="6" t="s">
        <v>1085</v>
      </c>
      <c r="B311" s="7" t="s">
        <v>1086</v>
      </c>
    </row>
    <row r="312" spans="1:2">
      <c r="A312" s="6" t="s">
        <v>1087</v>
      </c>
      <c r="B312" s="7" t="s">
        <v>1088</v>
      </c>
    </row>
    <row r="313" spans="1:2">
      <c r="A313" s="6" t="s">
        <v>1089</v>
      </c>
      <c r="B313" s="7" t="s">
        <v>1090</v>
      </c>
    </row>
    <row r="314" spans="1:2" ht="26.4">
      <c r="A314" s="6" t="s">
        <v>1091</v>
      </c>
      <c r="B314" s="7" t="s">
        <v>1092</v>
      </c>
    </row>
    <row r="315" spans="1:2">
      <c r="A315" s="6" t="s">
        <v>1093</v>
      </c>
      <c r="B315" s="7" t="s">
        <v>1094</v>
      </c>
    </row>
    <row r="316" spans="1:2">
      <c r="A316" s="6" t="s">
        <v>1095</v>
      </c>
      <c r="B316" s="7" t="s">
        <v>1096</v>
      </c>
    </row>
    <row r="317" spans="1:2">
      <c r="A317" s="6" t="s">
        <v>1097</v>
      </c>
      <c r="B317" s="7" t="s">
        <v>1098</v>
      </c>
    </row>
    <row r="318" spans="1:2">
      <c r="A318" s="6" t="s">
        <v>1099</v>
      </c>
      <c r="B318" s="7" t="s">
        <v>1100</v>
      </c>
    </row>
    <row r="319" spans="1:2">
      <c r="A319" s="6" t="s">
        <v>1101</v>
      </c>
      <c r="B319" s="7" t="s">
        <v>1102</v>
      </c>
    </row>
    <row r="320" spans="1:2">
      <c r="A320" s="6" t="s">
        <v>1103</v>
      </c>
      <c r="B320" s="7" t="s">
        <v>1104</v>
      </c>
    </row>
    <row r="321" spans="1:2">
      <c r="A321" s="6" t="s">
        <v>1105</v>
      </c>
      <c r="B321" s="7" t="s">
        <v>1106</v>
      </c>
    </row>
    <row r="322" spans="1:2">
      <c r="A322" s="6" t="s">
        <v>1107</v>
      </c>
      <c r="B322" s="7" t="s">
        <v>1108</v>
      </c>
    </row>
    <row r="323" spans="1:2">
      <c r="A323" s="6" t="s">
        <v>1109</v>
      </c>
      <c r="B323" s="7" t="s">
        <v>1110</v>
      </c>
    </row>
    <row r="324" spans="1:2">
      <c r="A324" s="6" t="s">
        <v>1111</v>
      </c>
      <c r="B324" s="7" t="s">
        <v>1112</v>
      </c>
    </row>
    <row r="325" spans="1:2" ht="26.4">
      <c r="A325" s="6" t="s">
        <v>1113</v>
      </c>
      <c r="B325" s="7" t="s">
        <v>1114</v>
      </c>
    </row>
    <row r="326" spans="1:2">
      <c r="A326" s="6" t="s">
        <v>1115</v>
      </c>
      <c r="B326" s="7" t="s">
        <v>1116</v>
      </c>
    </row>
    <row r="327" spans="1:2">
      <c r="A327" s="6" t="s">
        <v>1117</v>
      </c>
      <c r="B327" s="7" t="s">
        <v>1118</v>
      </c>
    </row>
    <row r="328" spans="1:2" ht="26.4">
      <c r="A328" s="6" t="s">
        <v>1119</v>
      </c>
      <c r="B328" s="7" t="s">
        <v>1120</v>
      </c>
    </row>
    <row r="329" spans="1:2">
      <c r="A329" s="6" t="s">
        <v>1121</v>
      </c>
      <c r="B329" s="7" t="s">
        <v>1122</v>
      </c>
    </row>
    <row r="330" spans="1:2">
      <c r="A330" s="6" t="s">
        <v>1123</v>
      </c>
      <c r="B330" s="7" t="s">
        <v>1124</v>
      </c>
    </row>
    <row r="331" spans="1:2">
      <c r="A331" s="6" t="s">
        <v>1125</v>
      </c>
      <c r="B331" s="7" t="s">
        <v>1126</v>
      </c>
    </row>
    <row r="332" spans="1:2" ht="26.4">
      <c r="A332" s="6" t="s">
        <v>1127</v>
      </c>
      <c r="B332" s="7" t="s">
        <v>1128</v>
      </c>
    </row>
    <row r="333" spans="1:2">
      <c r="A333" s="6" t="s">
        <v>1129</v>
      </c>
      <c r="B333" s="7" t="s">
        <v>1130</v>
      </c>
    </row>
    <row r="334" spans="1:2">
      <c r="A334" s="6" t="s">
        <v>1131</v>
      </c>
      <c r="B334" s="7" t="s">
        <v>1132</v>
      </c>
    </row>
    <row r="335" spans="1:2">
      <c r="A335" s="6" t="s">
        <v>1133</v>
      </c>
      <c r="B335" s="7" t="s">
        <v>1134</v>
      </c>
    </row>
    <row r="336" spans="1:2">
      <c r="A336" s="6" t="s">
        <v>1135</v>
      </c>
      <c r="B336" s="7" t="s">
        <v>1136</v>
      </c>
    </row>
    <row r="337" spans="1:2" ht="26.4">
      <c r="A337" s="6" t="s">
        <v>1137</v>
      </c>
      <c r="B337" s="7" t="s">
        <v>1138</v>
      </c>
    </row>
    <row r="338" spans="1:2">
      <c r="A338" s="6" t="s">
        <v>1139</v>
      </c>
      <c r="B338" s="7" t="s">
        <v>1140</v>
      </c>
    </row>
    <row r="339" spans="1:2" ht="26.4">
      <c r="A339" s="6" t="s">
        <v>1141</v>
      </c>
      <c r="B339" s="7" t="s">
        <v>1142</v>
      </c>
    </row>
    <row r="340" spans="1:2">
      <c r="A340" s="6" t="s">
        <v>1143</v>
      </c>
      <c r="B340" s="7" t="s">
        <v>1144</v>
      </c>
    </row>
    <row r="341" spans="1:2">
      <c r="A341" s="6" t="s">
        <v>1145</v>
      </c>
      <c r="B341" s="7" t="s">
        <v>1146</v>
      </c>
    </row>
    <row r="342" spans="1:2" ht="26.4">
      <c r="A342" s="6" t="s">
        <v>1147</v>
      </c>
      <c r="B342" s="7" t="s">
        <v>1148</v>
      </c>
    </row>
    <row r="343" spans="1:2">
      <c r="A343" s="6" t="s">
        <v>1149</v>
      </c>
      <c r="B343" s="7" t="s">
        <v>1150</v>
      </c>
    </row>
    <row r="344" spans="1:2">
      <c r="A344" s="6" t="s">
        <v>1151</v>
      </c>
      <c r="B344" s="7" t="s">
        <v>1152</v>
      </c>
    </row>
    <row r="345" spans="1:2" ht="26.4">
      <c r="A345" s="6" t="s">
        <v>1153</v>
      </c>
      <c r="B345" s="7" t="s">
        <v>1154</v>
      </c>
    </row>
    <row r="346" spans="1:2" ht="26.4">
      <c r="A346" s="6" t="s">
        <v>1155</v>
      </c>
      <c r="B346" s="7" t="s">
        <v>1156</v>
      </c>
    </row>
    <row r="347" spans="1:2">
      <c r="A347" s="6" t="s">
        <v>1157</v>
      </c>
      <c r="B347" s="7" t="s">
        <v>1158</v>
      </c>
    </row>
    <row r="348" spans="1:2" ht="26.4">
      <c r="A348" s="6" t="s">
        <v>1159</v>
      </c>
      <c r="B348" s="7" t="s">
        <v>1160</v>
      </c>
    </row>
    <row r="349" spans="1:2" ht="26.4">
      <c r="A349" s="6" t="s">
        <v>1161</v>
      </c>
      <c r="B349" s="7" t="s">
        <v>1162</v>
      </c>
    </row>
    <row r="350" spans="1:2">
      <c r="A350" s="6" t="s">
        <v>1163</v>
      </c>
      <c r="B350" s="7" t="s">
        <v>1164</v>
      </c>
    </row>
    <row r="351" spans="1:2">
      <c r="A351" s="6" t="s">
        <v>1165</v>
      </c>
      <c r="B351" s="7" t="s">
        <v>1166</v>
      </c>
    </row>
    <row r="352" spans="1:2">
      <c r="A352" s="6" t="s">
        <v>1167</v>
      </c>
      <c r="B352" s="7" t="s">
        <v>1168</v>
      </c>
    </row>
    <row r="353" spans="1:2">
      <c r="A353" s="6" t="s">
        <v>1169</v>
      </c>
      <c r="B353" s="7" t="s">
        <v>1170</v>
      </c>
    </row>
    <row r="354" spans="1:2">
      <c r="A354" s="6" t="s">
        <v>1171</v>
      </c>
      <c r="B354" s="7" t="s">
        <v>1172</v>
      </c>
    </row>
    <row r="355" spans="1:2">
      <c r="A355" s="6" t="s">
        <v>1173</v>
      </c>
      <c r="B355" s="7" t="s">
        <v>1174</v>
      </c>
    </row>
    <row r="356" spans="1:2" ht="26.4">
      <c r="A356" s="6" t="s">
        <v>1175</v>
      </c>
      <c r="B356" s="7" t="s">
        <v>1176</v>
      </c>
    </row>
    <row r="357" spans="1:2">
      <c r="A357" s="6" t="s">
        <v>300</v>
      </c>
      <c r="B357" s="7" t="s">
        <v>301</v>
      </c>
    </row>
    <row r="358" spans="1:2">
      <c r="A358" s="6" t="s">
        <v>1177</v>
      </c>
      <c r="B358" s="7" t="s">
        <v>1178</v>
      </c>
    </row>
    <row r="359" spans="1:2" ht="26.4">
      <c r="A359" s="6" t="s">
        <v>1179</v>
      </c>
      <c r="B359" s="7" t="s">
        <v>1180</v>
      </c>
    </row>
    <row r="360" spans="1:2">
      <c r="A360" s="6" t="s">
        <v>1181</v>
      </c>
      <c r="B360" s="7" t="s">
        <v>1182</v>
      </c>
    </row>
    <row r="361" spans="1:2">
      <c r="A361" s="6" t="s">
        <v>1183</v>
      </c>
      <c r="B361" s="7" t="s">
        <v>1184</v>
      </c>
    </row>
    <row r="362" spans="1:2">
      <c r="A362" s="6" t="s">
        <v>1185</v>
      </c>
      <c r="B362" s="7" t="s">
        <v>1186</v>
      </c>
    </row>
    <row r="363" spans="1:2">
      <c r="A363" s="6" t="s">
        <v>1187</v>
      </c>
      <c r="B363" s="7" t="s">
        <v>1188</v>
      </c>
    </row>
    <row r="364" spans="1:2">
      <c r="A364" s="6" t="s">
        <v>1189</v>
      </c>
      <c r="B364" s="7" t="s">
        <v>1190</v>
      </c>
    </row>
    <row r="365" spans="1:2">
      <c r="A365" s="6" t="s">
        <v>1191</v>
      </c>
      <c r="B365" s="7" t="s">
        <v>1192</v>
      </c>
    </row>
    <row r="366" spans="1:2">
      <c r="A366" s="6" t="s">
        <v>1193</v>
      </c>
      <c r="B366" s="7" t="s">
        <v>1194</v>
      </c>
    </row>
    <row r="367" spans="1:2">
      <c r="A367" s="6" t="s">
        <v>1195</v>
      </c>
      <c r="B367" s="7" t="s">
        <v>1196</v>
      </c>
    </row>
    <row r="368" spans="1:2">
      <c r="A368" s="6" t="s">
        <v>1197</v>
      </c>
      <c r="B368" s="7" t="s">
        <v>1198</v>
      </c>
    </row>
    <row r="369" spans="1:2">
      <c r="A369" s="6" t="s">
        <v>1199</v>
      </c>
      <c r="B369" s="7" t="s">
        <v>1200</v>
      </c>
    </row>
    <row r="370" spans="1:2">
      <c r="A370" s="6" t="s">
        <v>1201</v>
      </c>
      <c r="B370" s="7" t="s">
        <v>1202</v>
      </c>
    </row>
    <row r="371" spans="1:2" ht="26.4">
      <c r="A371" s="6" t="s">
        <v>1203</v>
      </c>
      <c r="B371" s="7" t="s">
        <v>1204</v>
      </c>
    </row>
    <row r="372" spans="1:2" ht="26.4">
      <c r="A372" s="6" t="s">
        <v>1205</v>
      </c>
      <c r="B372" s="7" t="s">
        <v>1206</v>
      </c>
    </row>
    <row r="373" spans="1:2">
      <c r="A373" s="6" t="s">
        <v>1207</v>
      </c>
      <c r="B373" s="7" t="s">
        <v>1208</v>
      </c>
    </row>
    <row r="374" spans="1:2">
      <c r="A374" s="6" t="s">
        <v>1209</v>
      </c>
      <c r="B374" s="7" t="s">
        <v>1210</v>
      </c>
    </row>
    <row r="375" spans="1:2" ht="26.4">
      <c r="A375" s="6" t="s">
        <v>1211</v>
      </c>
      <c r="B375" s="7" t="s">
        <v>1212</v>
      </c>
    </row>
    <row r="376" spans="1:2">
      <c r="A376" s="6" t="s">
        <v>1213</v>
      </c>
      <c r="B376" s="7" t="s">
        <v>1214</v>
      </c>
    </row>
    <row r="377" spans="1:2" ht="26.4">
      <c r="A377" s="6" t="s">
        <v>1215</v>
      </c>
      <c r="B377" s="7" t="s">
        <v>1216</v>
      </c>
    </row>
    <row r="378" spans="1:2">
      <c r="A378" s="6" t="s">
        <v>1217</v>
      </c>
      <c r="B378" s="7" t="s">
        <v>1218</v>
      </c>
    </row>
    <row r="379" spans="1:2" ht="26.4">
      <c r="A379" s="6" t="s">
        <v>1219</v>
      </c>
      <c r="B379" s="7" t="s">
        <v>1220</v>
      </c>
    </row>
    <row r="380" spans="1:2">
      <c r="A380" s="6" t="s">
        <v>1221</v>
      </c>
      <c r="B380" s="7" t="s">
        <v>1222</v>
      </c>
    </row>
    <row r="381" spans="1:2" ht="26.4">
      <c r="A381" s="6" t="s">
        <v>1223</v>
      </c>
      <c r="B381" s="7" t="s">
        <v>1224</v>
      </c>
    </row>
    <row r="382" spans="1:2">
      <c r="A382" s="6" t="s">
        <v>1225</v>
      </c>
      <c r="B382" s="7" t="s">
        <v>1226</v>
      </c>
    </row>
    <row r="383" spans="1:2" ht="26.4">
      <c r="A383" s="6" t="s">
        <v>1227</v>
      </c>
      <c r="B383" s="7" t="s">
        <v>1228</v>
      </c>
    </row>
    <row r="384" spans="1:2">
      <c r="A384" s="6" t="s">
        <v>1229</v>
      </c>
      <c r="B384" s="7" t="s">
        <v>1230</v>
      </c>
    </row>
    <row r="385" spans="1:2">
      <c r="A385" s="6" t="s">
        <v>1231</v>
      </c>
      <c r="B385" s="7" t="s">
        <v>1232</v>
      </c>
    </row>
    <row r="386" spans="1:2" ht="26.4">
      <c r="A386" s="6" t="s">
        <v>1233</v>
      </c>
      <c r="B386" s="7" t="s">
        <v>1234</v>
      </c>
    </row>
    <row r="387" spans="1:2">
      <c r="A387" s="6" t="s">
        <v>1235</v>
      </c>
      <c r="B387" s="7" t="s">
        <v>1236</v>
      </c>
    </row>
    <row r="388" spans="1:2">
      <c r="A388" s="6" t="s">
        <v>1237</v>
      </c>
      <c r="B388" s="7" t="s">
        <v>1238</v>
      </c>
    </row>
    <row r="389" spans="1:2">
      <c r="A389" s="6" t="s">
        <v>1239</v>
      </c>
      <c r="B389" s="7" t="s">
        <v>1240</v>
      </c>
    </row>
    <row r="390" spans="1:2">
      <c r="A390" s="6" t="s">
        <v>1241</v>
      </c>
      <c r="B390" s="7" t="s">
        <v>1242</v>
      </c>
    </row>
    <row r="391" spans="1:2">
      <c r="A391" s="6" t="s">
        <v>1243</v>
      </c>
      <c r="B391" s="7" t="s">
        <v>1244</v>
      </c>
    </row>
    <row r="392" spans="1:2">
      <c r="A392" s="6" t="s">
        <v>1245</v>
      </c>
      <c r="B392" s="7" t="s">
        <v>1246</v>
      </c>
    </row>
    <row r="393" spans="1:2" ht="26.4">
      <c r="A393" s="6" t="s">
        <v>1247</v>
      </c>
      <c r="B393" s="7" t="s">
        <v>1248</v>
      </c>
    </row>
    <row r="394" spans="1:2">
      <c r="A394" s="6" t="s">
        <v>1249</v>
      </c>
      <c r="B394" s="7" t="s">
        <v>1250</v>
      </c>
    </row>
    <row r="395" spans="1:2">
      <c r="A395" s="6" t="s">
        <v>316</v>
      </c>
      <c r="B395" s="7" t="s">
        <v>317</v>
      </c>
    </row>
    <row r="396" spans="1:2" ht="26.4">
      <c r="A396" s="6" t="s">
        <v>1251</v>
      </c>
      <c r="B396" s="7" t="s">
        <v>1252</v>
      </c>
    </row>
    <row r="397" spans="1:2">
      <c r="A397" s="6" t="s">
        <v>1253</v>
      </c>
      <c r="B397" s="7" t="s">
        <v>1254</v>
      </c>
    </row>
    <row r="398" spans="1:2" ht="26.4">
      <c r="A398" s="6" t="s">
        <v>1255</v>
      </c>
      <c r="B398" s="7" t="s">
        <v>1256</v>
      </c>
    </row>
    <row r="399" spans="1:2">
      <c r="A399" s="6" t="s">
        <v>1257</v>
      </c>
      <c r="B399" s="7" t="s">
        <v>1258</v>
      </c>
    </row>
    <row r="400" spans="1:2" ht="26.4">
      <c r="A400" s="6" t="s">
        <v>1259</v>
      </c>
      <c r="B400" s="7" t="s">
        <v>1260</v>
      </c>
    </row>
    <row r="401" spans="1:2">
      <c r="A401" s="6" t="s">
        <v>1261</v>
      </c>
      <c r="B401" s="7" t="s">
        <v>1262</v>
      </c>
    </row>
    <row r="402" spans="1:2" ht="26.4">
      <c r="A402" s="6" t="s">
        <v>1263</v>
      </c>
      <c r="B402" s="7" t="s">
        <v>1264</v>
      </c>
    </row>
    <row r="403" spans="1:2">
      <c r="A403" s="6" t="s">
        <v>1265</v>
      </c>
      <c r="B403" s="7" t="s">
        <v>1266</v>
      </c>
    </row>
    <row r="404" spans="1:2">
      <c r="A404" s="6" t="s">
        <v>1267</v>
      </c>
      <c r="B404" s="7" t="s">
        <v>1268</v>
      </c>
    </row>
    <row r="405" spans="1:2" ht="26.4">
      <c r="A405" s="6" t="s">
        <v>1269</v>
      </c>
      <c r="B405" s="7" t="s">
        <v>1270</v>
      </c>
    </row>
    <row r="406" spans="1:2" ht="26.4">
      <c r="A406" s="6" t="s">
        <v>1271</v>
      </c>
      <c r="B406" s="7" t="s">
        <v>1272</v>
      </c>
    </row>
    <row r="407" spans="1:2">
      <c r="A407" s="6" t="s">
        <v>1273</v>
      </c>
      <c r="B407" s="7" t="s">
        <v>1274</v>
      </c>
    </row>
    <row r="408" spans="1:2">
      <c r="A408" s="6" t="s">
        <v>1275</v>
      </c>
      <c r="B408" s="7" t="s">
        <v>1276</v>
      </c>
    </row>
    <row r="409" spans="1:2" ht="26.4">
      <c r="A409" s="6" t="s">
        <v>1277</v>
      </c>
      <c r="B409" s="7" t="s">
        <v>1278</v>
      </c>
    </row>
    <row r="410" spans="1:2">
      <c r="A410" s="6" t="s">
        <v>1279</v>
      </c>
      <c r="B410" s="7" t="s">
        <v>1280</v>
      </c>
    </row>
    <row r="411" spans="1:2" ht="26.4">
      <c r="A411" s="6" t="s">
        <v>1281</v>
      </c>
      <c r="B411" s="7" t="s">
        <v>1282</v>
      </c>
    </row>
    <row r="412" spans="1:2">
      <c r="A412" s="6" t="s">
        <v>1283</v>
      </c>
      <c r="B412" s="7" t="s">
        <v>1284</v>
      </c>
    </row>
    <row r="413" spans="1:2" ht="26.4">
      <c r="A413" s="6" t="s">
        <v>1285</v>
      </c>
      <c r="B413" s="7" t="s">
        <v>1286</v>
      </c>
    </row>
    <row r="414" spans="1:2">
      <c r="A414" s="6" t="s">
        <v>1287</v>
      </c>
      <c r="B414" s="7" t="s">
        <v>1288</v>
      </c>
    </row>
    <row r="415" spans="1:2">
      <c r="A415" s="6" t="s">
        <v>1289</v>
      </c>
      <c r="B415" s="7" t="s">
        <v>1290</v>
      </c>
    </row>
    <row r="416" spans="1:2">
      <c r="A416" s="6" t="s">
        <v>1291</v>
      </c>
      <c r="B416" s="7" t="s">
        <v>1292</v>
      </c>
    </row>
    <row r="417" spans="1:2">
      <c r="A417" s="6" t="s">
        <v>1293</v>
      </c>
      <c r="B417" s="7" t="s">
        <v>1294</v>
      </c>
    </row>
    <row r="418" spans="1:2">
      <c r="A418" s="6" t="s">
        <v>1295</v>
      </c>
      <c r="B418" s="7" t="s">
        <v>1296</v>
      </c>
    </row>
    <row r="419" spans="1:2">
      <c r="A419" s="6" t="s">
        <v>1297</v>
      </c>
      <c r="B419" s="7" t="s">
        <v>1298</v>
      </c>
    </row>
    <row r="420" spans="1:2" ht="26.4">
      <c r="A420" s="6" t="s">
        <v>1299</v>
      </c>
      <c r="B420" s="7" t="s">
        <v>1300</v>
      </c>
    </row>
    <row r="421" spans="1:2">
      <c r="A421" s="6" t="s">
        <v>1301</v>
      </c>
      <c r="B421" s="7" t="s">
        <v>1302</v>
      </c>
    </row>
    <row r="422" spans="1:2" ht="26.4">
      <c r="A422" s="6" t="s">
        <v>1303</v>
      </c>
      <c r="B422" s="7" t="s">
        <v>1304</v>
      </c>
    </row>
    <row r="423" spans="1:2" ht="26.4">
      <c r="A423" s="6" t="s">
        <v>1305</v>
      </c>
      <c r="B423" s="7" t="s">
        <v>1306</v>
      </c>
    </row>
    <row r="424" spans="1:2">
      <c r="A424" s="6" t="s">
        <v>1307</v>
      </c>
      <c r="B424" s="7" t="s">
        <v>1308</v>
      </c>
    </row>
    <row r="425" spans="1:2">
      <c r="A425" s="6" t="s">
        <v>1309</v>
      </c>
      <c r="B425" s="7" t="s">
        <v>1310</v>
      </c>
    </row>
    <row r="426" spans="1:2">
      <c r="A426" s="6" t="s">
        <v>1311</v>
      </c>
      <c r="B426" s="7" t="s">
        <v>1312</v>
      </c>
    </row>
    <row r="427" spans="1:2" ht="26.4">
      <c r="A427" s="6" t="s">
        <v>1313</v>
      </c>
      <c r="B427" s="7" t="s">
        <v>1314</v>
      </c>
    </row>
    <row r="428" spans="1:2">
      <c r="A428" s="6" t="s">
        <v>1315</v>
      </c>
      <c r="B428" s="7" t="s">
        <v>1316</v>
      </c>
    </row>
    <row r="429" spans="1:2" ht="26.4">
      <c r="A429" s="6" t="s">
        <v>1317</v>
      </c>
      <c r="B429" s="7" t="s">
        <v>1318</v>
      </c>
    </row>
    <row r="430" spans="1:2" ht="26.4">
      <c r="A430" s="6" t="s">
        <v>1319</v>
      </c>
      <c r="B430" s="7" t="s">
        <v>1320</v>
      </c>
    </row>
    <row r="431" spans="1:2" ht="26.4">
      <c r="A431" s="6" t="s">
        <v>1321</v>
      </c>
      <c r="B431" s="7" t="s">
        <v>1322</v>
      </c>
    </row>
    <row r="432" spans="1:2" ht="26.4">
      <c r="A432" s="6" t="s">
        <v>1323</v>
      </c>
      <c r="B432" s="7" t="s">
        <v>1324</v>
      </c>
    </row>
    <row r="433" spans="1:2">
      <c r="A433" s="6" t="s">
        <v>1325</v>
      </c>
      <c r="B433" s="7" t="s">
        <v>1326</v>
      </c>
    </row>
    <row r="434" spans="1:2">
      <c r="A434" s="6" t="s">
        <v>1327</v>
      </c>
      <c r="B434" s="7" t="s">
        <v>1328</v>
      </c>
    </row>
    <row r="435" spans="1:2">
      <c r="A435" s="6" t="s">
        <v>1329</v>
      </c>
      <c r="B435" s="7" t="s">
        <v>1330</v>
      </c>
    </row>
    <row r="436" spans="1:2">
      <c r="A436" s="6" t="s">
        <v>1331</v>
      </c>
      <c r="B436" s="7" t="s">
        <v>1332</v>
      </c>
    </row>
    <row r="437" spans="1:2">
      <c r="A437" s="6" t="s">
        <v>1333</v>
      </c>
      <c r="B437" s="7" t="s">
        <v>1334</v>
      </c>
    </row>
    <row r="438" spans="1:2">
      <c r="A438" s="6" t="s">
        <v>1335</v>
      </c>
      <c r="B438" s="7" t="s">
        <v>1336</v>
      </c>
    </row>
    <row r="439" spans="1:2">
      <c r="A439" s="6" t="s">
        <v>1337</v>
      </c>
      <c r="B439" s="7" t="s">
        <v>1338</v>
      </c>
    </row>
    <row r="440" spans="1:2" ht="26.4">
      <c r="A440" s="6" t="s">
        <v>1339</v>
      </c>
      <c r="B440" s="7" t="s">
        <v>1340</v>
      </c>
    </row>
    <row r="441" spans="1:2">
      <c r="A441" s="6" t="s">
        <v>1341</v>
      </c>
      <c r="B441" s="7" t="s">
        <v>1342</v>
      </c>
    </row>
    <row r="442" spans="1:2">
      <c r="A442" s="6" t="s">
        <v>1343</v>
      </c>
      <c r="B442" s="7" t="s">
        <v>1344</v>
      </c>
    </row>
    <row r="443" spans="1:2" ht="26.4">
      <c r="A443" s="6" t="s">
        <v>1345</v>
      </c>
      <c r="B443" s="7" t="s">
        <v>1346</v>
      </c>
    </row>
    <row r="444" spans="1:2">
      <c r="A444" s="6" t="s">
        <v>1347</v>
      </c>
      <c r="B444" s="7" t="s">
        <v>1348</v>
      </c>
    </row>
    <row r="445" spans="1:2" ht="26.4">
      <c r="A445" s="6" t="s">
        <v>1349</v>
      </c>
      <c r="B445" s="7" t="s">
        <v>1350</v>
      </c>
    </row>
    <row r="446" spans="1:2">
      <c r="A446" s="6" t="s">
        <v>1351</v>
      </c>
      <c r="B446" s="7" t="s">
        <v>1352</v>
      </c>
    </row>
    <row r="447" spans="1:2">
      <c r="A447" s="6" t="s">
        <v>1353</v>
      </c>
      <c r="B447" s="7" t="s">
        <v>1354</v>
      </c>
    </row>
    <row r="448" spans="1:2">
      <c r="A448" s="6" t="s">
        <v>1355</v>
      </c>
      <c r="B448" s="7" t="s">
        <v>1356</v>
      </c>
    </row>
    <row r="449" spans="1:2">
      <c r="A449" s="6" t="s">
        <v>1357</v>
      </c>
      <c r="B449" s="7" t="s">
        <v>1358</v>
      </c>
    </row>
    <row r="450" spans="1:2" ht="26.4">
      <c r="A450" s="6" t="s">
        <v>1359</v>
      </c>
      <c r="B450" s="7" t="s">
        <v>1360</v>
      </c>
    </row>
    <row r="451" spans="1:2" ht="26.4">
      <c r="A451" s="6" t="s">
        <v>1361</v>
      </c>
      <c r="B451" s="7" t="s">
        <v>1362</v>
      </c>
    </row>
    <row r="452" spans="1:2">
      <c r="A452" s="6" t="s">
        <v>1363</v>
      </c>
      <c r="B452" s="7" t="s">
        <v>1364</v>
      </c>
    </row>
    <row r="453" spans="1:2" ht="26.4">
      <c r="A453" s="6" t="s">
        <v>1365</v>
      </c>
      <c r="B453" s="7" t="s">
        <v>1366</v>
      </c>
    </row>
    <row r="454" spans="1:2" ht="26.4">
      <c r="A454" s="6" t="s">
        <v>1367</v>
      </c>
      <c r="B454" s="7" t="s">
        <v>1368</v>
      </c>
    </row>
    <row r="455" spans="1:2">
      <c r="A455" s="6" t="s">
        <v>1369</v>
      </c>
      <c r="B455" s="7" t="s">
        <v>1370</v>
      </c>
    </row>
    <row r="456" spans="1:2" ht="26.4">
      <c r="A456" s="6" t="s">
        <v>1371</v>
      </c>
      <c r="B456" s="7" t="s">
        <v>1372</v>
      </c>
    </row>
    <row r="457" spans="1:2">
      <c r="A457" s="6" t="s">
        <v>1373</v>
      </c>
      <c r="B457" s="7" t="s">
        <v>1374</v>
      </c>
    </row>
    <row r="458" spans="1:2" ht="26.4">
      <c r="A458" s="6" t="s">
        <v>1375</v>
      </c>
      <c r="B458" s="7" t="s">
        <v>1376</v>
      </c>
    </row>
    <row r="459" spans="1:2">
      <c r="A459" s="6" t="s">
        <v>1377</v>
      </c>
      <c r="B459" s="7" t="s">
        <v>1378</v>
      </c>
    </row>
    <row r="460" spans="1:2" ht="26.4">
      <c r="A460" s="6" t="s">
        <v>1379</v>
      </c>
      <c r="B460" s="7" t="s">
        <v>1380</v>
      </c>
    </row>
    <row r="461" spans="1:2" ht="26.4">
      <c r="A461" s="6" t="s">
        <v>1381</v>
      </c>
      <c r="B461" s="7" t="s">
        <v>1382</v>
      </c>
    </row>
    <row r="462" spans="1:2">
      <c r="A462" s="6" t="s">
        <v>1383</v>
      </c>
      <c r="B462" s="7" t="s">
        <v>1384</v>
      </c>
    </row>
    <row r="463" spans="1:2">
      <c r="A463" s="6" t="s">
        <v>1385</v>
      </c>
      <c r="B463" s="7" t="s">
        <v>1386</v>
      </c>
    </row>
    <row r="464" spans="1:2">
      <c r="A464" s="6" t="s">
        <v>1387</v>
      </c>
      <c r="B464" s="7" t="s">
        <v>1388</v>
      </c>
    </row>
    <row r="465" spans="1:2" ht="26.4">
      <c r="A465" s="6" t="s">
        <v>1389</v>
      </c>
      <c r="B465" s="7" t="s">
        <v>1390</v>
      </c>
    </row>
    <row r="466" spans="1:2" ht="26.4">
      <c r="A466" s="6" t="s">
        <v>1391</v>
      </c>
      <c r="B466" s="7" t="s">
        <v>1392</v>
      </c>
    </row>
    <row r="467" spans="1:2" ht="26.4">
      <c r="A467" s="6" t="s">
        <v>1393</v>
      </c>
      <c r="B467" s="7" t="s">
        <v>1394</v>
      </c>
    </row>
    <row r="468" spans="1:2">
      <c r="A468" s="6" t="s">
        <v>1395</v>
      </c>
      <c r="B468" s="7" t="s">
        <v>1396</v>
      </c>
    </row>
    <row r="469" spans="1:2">
      <c r="A469" s="6" t="s">
        <v>1397</v>
      </c>
      <c r="B469" s="7" t="s">
        <v>1398</v>
      </c>
    </row>
    <row r="470" spans="1:2" ht="26.4">
      <c r="A470" s="6" t="s">
        <v>1399</v>
      </c>
      <c r="B470" s="7" t="s">
        <v>1400</v>
      </c>
    </row>
    <row r="471" spans="1:2" ht="26.4">
      <c r="A471" s="6" t="s">
        <v>1401</v>
      </c>
      <c r="B471" s="7" t="s">
        <v>1402</v>
      </c>
    </row>
    <row r="472" spans="1:2">
      <c r="A472" s="6" t="s">
        <v>1403</v>
      </c>
      <c r="B472" s="7" t="s">
        <v>1404</v>
      </c>
    </row>
    <row r="473" spans="1:2">
      <c r="A473" s="6" t="s">
        <v>1405</v>
      </c>
      <c r="B473" s="7" t="s">
        <v>1406</v>
      </c>
    </row>
    <row r="474" spans="1:2" ht="26.4">
      <c r="A474" s="6" t="s">
        <v>1407</v>
      </c>
      <c r="B474" s="7" t="s">
        <v>1408</v>
      </c>
    </row>
    <row r="475" spans="1:2">
      <c r="A475" s="6" t="s">
        <v>1409</v>
      </c>
      <c r="B475" s="7" t="s">
        <v>1410</v>
      </c>
    </row>
    <row r="476" spans="1:2">
      <c r="A476" s="6" t="s">
        <v>1411</v>
      </c>
      <c r="B476" s="7" t="s">
        <v>1412</v>
      </c>
    </row>
    <row r="477" spans="1:2" ht="26.4">
      <c r="A477" s="6" t="s">
        <v>1413</v>
      </c>
      <c r="B477" s="7" t="s">
        <v>1414</v>
      </c>
    </row>
    <row r="478" spans="1:2">
      <c r="A478" s="6" t="s">
        <v>1415</v>
      </c>
      <c r="B478" s="7" t="s">
        <v>1416</v>
      </c>
    </row>
    <row r="479" spans="1:2">
      <c r="A479" s="6" t="s">
        <v>1417</v>
      </c>
      <c r="B479" s="7" t="s">
        <v>1418</v>
      </c>
    </row>
    <row r="480" spans="1:2">
      <c r="A480" s="6" t="s">
        <v>1419</v>
      </c>
      <c r="B480" s="7" t="s">
        <v>1420</v>
      </c>
    </row>
    <row r="481" spans="1:2" ht="26.4">
      <c r="A481" s="6" t="s">
        <v>1421</v>
      </c>
      <c r="B481" s="7" t="s">
        <v>1422</v>
      </c>
    </row>
    <row r="482" spans="1:2">
      <c r="A482" s="6" t="s">
        <v>1423</v>
      </c>
      <c r="B482" s="7" t="s">
        <v>1424</v>
      </c>
    </row>
    <row r="483" spans="1:2">
      <c r="A483" s="6" t="s">
        <v>1425</v>
      </c>
      <c r="B483" s="7" t="s">
        <v>1426</v>
      </c>
    </row>
    <row r="484" spans="1:2">
      <c r="A484" s="6" t="s">
        <v>1427</v>
      </c>
      <c r="B484" s="7" t="s">
        <v>1428</v>
      </c>
    </row>
    <row r="485" spans="1:2" ht="26.4">
      <c r="A485" s="6" t="s">
        <v>1429</v>
      </c>
      <c r="B485" s="7" t="s">
        <v>1430</v>
      </c>
    </row>
    <row r="486" spans="1:2">
      <c r="A486" s="6" t="s">
        <v>1431</v>
      </c>
      <c r="B486" s="7" t="s">
        <v>1432</v>
      </c>
    </row>
    <row r="487" spans="1:2">
      <c r="A487" s="6" t="s">
        <v>1433</v>
      </c>
      <c r="B487" s="7" t="s">
        <v>1434</v>
      </c>
    </row>
    <row r="488" spans="1:2">
      <c r="A488" s="6" t="s">
        <v>1435</v>
      </c>
      <c r="B488" s="7" t="s">
        <v>1436</v>
      </c>
    </row>
    <row r="489" spans="1:2">
      <c r="A489" s="6" t="s">
        <v>1437</v>
      </c>
      <c r="B489" s="7" t="s">
        <v>1438</v>
      </c>
    </row>
    <row r="490" spans="1:2">
      <c r="A490" s="6" t="s">
        <v>1439</v>
      </c>
      <c r="B490" s="7" t="s">
        <v>1440</v>
      </c>
    </row>
    <row r="491" spans="1:2">
      <c r="A491" s="6" t="s">
        <v>1441</v>
      </c>
      <c r="B491" s="7" t="s">
        <v>1442</v>
      </c>
    </row>
    <row r="492" spans="1:2">
      <c r="A492" s="6" t="s">
        <v>1443</v>
      </c>
      <c r="B492" s="7" t="s">
        <v>1444</v>
      </c>
    </row>
    <row r="493" spans="1:2">
      <c r="A493" s="6" t="s">
        <v>1445</v>
      </c>
      <c r="B493" s="7" t="s">
        <v>1446</v>
      </c>
    </row>
    <row r="494" spans="1:2">
      <c r="A494" s="6" t="s">
        <v>1447</v>
      </c>
      <c r="B494" s="7" t="s">
        <v>1448</v>
      </c>
    </row>
    <row r="495" spans="1:2">
      <c r="A495" s="6" t="s">
        <v>1449</v>
      </c>
      <c r="B495" s="7" t="s">
        <v>1450</v>
      </c>
    </row>
    <row r="496" spans="1:2">
      <c r="A496" s="6" t="s">
        <v>1451</v>
      </c>
      <c r="B496" s="7" t="s">
        <v>1452</v>
      </c>
    </row>
    <row r="497" spans="1:2">
      <c r="A497" s="6" t="s">
        <v>1453</v>
      </c>
      <c r="B497" s="7" t="s">
        <v>1454</v>
      </c>
    </row>
    <row r="498" spans="1:2">
      <c r="A498" s="6" t="s">
        <v>1455</v>
      </c>
      <c r="B498" s="7" t="s">
        <v>1456</v>
      </c>
    </row>
    <row r="499" spans="1:2">
      <c r="A499" s="6" t="s">
        <v>1457</v>
      </c>
      <c r="B499" s="7" t="s">
        <v>1458</v>
      </c>
    </row>
    <row r="500" spans="1:2">
      <c r="A500" s="6" t="s">
        <v>1459</v>
      </c>
      <c r="B500" s="7" t="s">
        <v>1460</v>
      </c>
    </row>
    <row r="501" spans="1:2">
      <c r="A501" s="6" t="s">
        <v>1461</v>
      </c>
      <c r="B501" s="7" t="s">
        <v>1462</v>
      </c>
    </row>
    <row r="502" spans="1:2">
      <c r="A502" s="6" t="s">
        <v>1463</v>
      </c>
      <c r="B502" s="7" t="s">
        <v>1464</v>
      </c>
    </row>
    <row r="503" spans="1:2">
      <c r="A503" s="6" t="s">
        <v>1465</v>
      </c>
      <c r="B503" s="7" t="s">
        <v>1466</v>
      </c>
    </row>
    <row r="504" spans="1:2">
      <c r="A504" s="6" t="s">
        <v>1467</v>
      </c>
      <c r="B504" s="7" t="s">
        <v>1468</v>
      </c>
    </row>
    <row r="505" spans="1:2">
      <c r="A505" s="6" t="s">
        <v>1469</v>
      </c>
      <c r="B505" s="7" t="s">
        <v>1470</v>
      </c>
    </row>
    <row r="506" spans="1:2" ht="26.4">
      <c r="A506" s="6" t="s">
        <v>1471</v>
      </c>
      <c r="B506" s="7" t="s">
        <v>1472</v>
      </c>
    </row>
    <row r="507" spans="1:2">
      <c r="A507" s="6" t="s">
        <v>1473</v>
      </c>
      <c r="B507" s="7" t="s">
        <v>1474</v>
      </c>
    </row>
    <row r="508" spans="1:2">
      <c r="A508" s="6" t="s">
        <v>1475</v>
      </c>
      <c r="B508" s="7" t="s">
        <v>1476</v>
      </c>
    </row>
    <row r="509" spans="1:2">
      <c r="A509" s="6" t="s">
        <v>1477</v>
      </c>
      <c r="B509" s="7" t="s">
        <v>1478</v>
      </c>
    </row>
    <row r="510" spans="1:2">
      <c r="A510" s="6" t="s">
        <v>1479</v>
      </c>
      <c r="B510" s="7" t="s">
        <v>1480</v>
      </c>
    </row>
    <row r="511" spans="1:2">
      <c r="A511" s="6" t="s">
        <v>1481</v>
      </c>
      <c r="B511" s="7" t="s">
        <v>1482</v>
      </c>
    </row>
    <row r="512" spans="1:2" ht="26.4">
      <c r="A512" s="6" t="s">
        <v>1483</v>
      </c>
      <c r="B512" s="7" t="s">
        <v>1484</v>
      </c>
    </row>
    <row r="513" spans="1:2" ht="26.4">
      <c r="A513" s="6" t="s">
        <v>1485</v>
      </c>
      <c r="B513" s="7" t="s">
        <v>1486</v>
      </c>
    </row>
    <row r="514" spans="1:2">
      <c r="A514" s="6" t="s">
        <v>1487</v>
      </c>
      <c r="B514" s="7" t="s">
        <v>1488</v>
      </c>
    </row>
    <row r="515" spans="1:2" ht="26.4">
      <c r="A515" s="6" t="s">
        <v>1489</v>
      </c>
      <c r="B515" s="7" t="s">
        <v>1490</v>
      </c>
    </row>
    <row r="516" spans="1:2">
      <c r="A516" s="6" t="s">
        <v>1491</v>
      </c>
      <c r="B516" s="7" t="s">
        <v>1492</v>
      </c>
    </row>
    <row r="517" spans="1:2" ht="26.4">
      <c r="A517" s="6" t="s">
        <v>1493</v>
      </c>
      <c r="B517" s="7" t="s">
        <v>1494</v>
      </c>
    </row>
    <row r="518" spans="1:2">
      <c r="A518" s="6" t="s">
        <v>1495</v>
      </c>
      <c r="B518" s="7" t="s">
        <v>1496</v>
      </c>
    </row>
    <row r="519" spans="1:2">
      <c r="A519" s="6" t="s">
        <v>1497</v>
      </c>
      <c r="B519" s="7" t="s">
        <v>1498</v>
      </c>
    </row>
    <row r="520" spans="1:2">
      <c r="A520" s="6" t="s">
        <v>1499</v>
      </c>
      <c r="B520" s="7" t="s">
        <v>1500</v>
      </c>
    </row>
    <row r="521" spans="1:2">
      <c r="A521" s="6" t="s">
        <v>1501</v>
      </c>
      <c r="B521" s="7" t="s">
        <v>1502</v>
      </c>
    </row>
    <row r="522" spans="1:2">
      <c r="A522" s="6" t="s">
        <v>1503</v>
      </c>
      <c r="B522" s="7" t="s">
        <v>1504</v>
      </c>
    </row>
    <row r="523" spans="1:2">
      <c r="A523" s="6" t="s">
        <v>1505</v>
      </c>
      <c r="B523" s="7" t="s">
        <v>1506</v>
      </c>
    </row>
    <row r="524" spans="1:2">
      <c r="A524" s="6" t="s">
        <v>1507</v>
      </c>
      <c r="B524" s="7" t="s">
        <v>1508</v>
      </c>
    </row>
    <row r="525" spans="1:2">
      <c r="A525" s="6" t="s">
        <v>1509</v>
      </c>
      <c r="B525" s="7" t="s">
        <v>1510</v>
      </c>
    </row>
    <row r="526" spans="1:2">
      <c r="A526" s="6" t="s">
        <v>1511</v>
      </c>
      <c r="B526" s="7" t="s">
        <v>1512</v>
      </c>
    </row>
    <row r="527" spans="1:2">
      <c r="A527" s="6" t="s">
        <v>1513</v>
      </c>
      <c r="B527" s="7" t="s">
        <v>1514</v>
      </c>
    </row>
    <row r="528" spans="1:2" ht="26.4">
      <c r="A528" s="6" t="s">
        <v>1515</v>
      </c>
      <c r="B528" s="7" t="s">
        <v>1516</v>
      </c>
    </row>
    <row r="529" spans="1:2">
      <c r="A529" s="6" t="s">
        <v>1517</v>
      </c>
      <c r="B529" s="7" t="s">
        <v>1518</v>
      </c>
    </row>
    <row r="530" spans="1:2">
      <c r="A530" s="6" t="s">
        <v>1519</v>
      </c>
      <c r="B530" s="7" t="s">
        <v>1520</v>
      </c>
    </row>
    <row r="531" spans="1:2">
      <c r="A531" s="6" t="s">
        <v>1521</v>
      </c>
      <c r="B531" s="7" t="s">
        <v>1522</v>
      </c>
    </row>
    <row r="532" spans="1:2">
      <c r="A532" s="6" t="s">
        <v>1523</v>
      </c>
      <c r="B532" s="7" t="s">
        <v>1524</v>
      </c>
    </row>
    <row r="533" spans="1:2">
      <c r="A533" s="6" t="s">
        <v>1525</v>
      </c>
      <c r="B533" s="7" t="s">
        <v>1526</v>
      </c>
    </row>
    <row r="534" spans="1:2" ht="26.4">
      <c r="A534" s="6" t="s">
        <v>1527</v>
      </c>
      <c r="B534" s="7" t="s">
        <v>1528</v>
      </c>
    </row>
    <row r="535" spans="1:2" ht="26.4">
      <c r="A535" s="6" t="s">
        <v>1529</v>
      </c>
      <c r="B535" s="7" t="s">
        <v>1530</v>
      </c>
    </row>
    <row r="536" spans="1:2" ht="26.4">
      <c r="A536" s="6" t="s">
        <v>1531</v>
      </c>
      <c r="B536" s="7" t="s">
        <v>1532</v>
      </c>
    </row>
    <row r="537" spans="1:2" ht="26.4">
      <c r="A537" s="6" t="s">
        <v>1533</v>
      </c>
      <c r="B537" s="7" t="s">
        <v>1534</v>
      </c>
    </row>
    <row r="538" spans="1:2">
      <c r="A538" s="6" t="s">
        <v>1535</v>
      </c>
      <c r="B538" s="7" t="s">
        <v>1536</v>
      </c>
    </row>
    <row r="539" spans="1:2">
      <c r="A539" s="6" t="s">
        <v>1537</v>
      </c>
      <c r="B539" s="7" t="s">
        <v>1538</v>
      </c>
    </row>
    <row r="540" spans="1:2">
      <c r="A540" s="6" t="s">
        <v>1539</v>
      </c>
      <c r="B540" s="7" t="s">
        <v>1540</v>
      </c>
    </row>
    <row r="541" spans="1:2">
      <c r="A541" s="6" t="s">
        <v>1541</v>
      </c>
      <c r="B541" s="7" t="s">
        <v>1542</v>
      </c>
    </row>
    <row r="542" spans="1:2">
      <c r="A542" s="6" t="s">
        <v>1543</v>
      </c>
      <c r="B542" s="7" t="s">
        <v>1544</v>
      </c>
    </row>
    <row r="543" spans="1:2" ht="26.4">
      <c r="A543" s="6" t="s">
        <v>1545</v>
      </c>
      <c r="B543" s="7" t="s">
        <v>1546</v>
      </c>
    </row>
    <row r="544" spans="1:2">
      <c r="A544" s="6" t="s">
        <v>1547</v>
      </c>
      <c r="B544" s="7" t="s">
        <v>1548</v>
      </c>
    </row>
    <row r="545" spans="1:2" ht="26.4">
      <c r="A545" s="6" t="s">
        <v>1549</v>
      </c>
      <c r="B545" s="7" t="s">
        <v>1550</v>
      </c>
    </row>
    <row r="546" spans="1:2" ht="26.4">
      <c r="A546" s="6" t="s">
        <v>1551</v>
      </c>
      <c r="B546" s="7" t="s">
        <v>1552</v>
      </c>
    </row>
    <row r="547" spans="1:2">
      <c r="A547" s="6" t="s">
        <v>1553</v>
      </c>
      <c r="B547" s="7" t="s">
        <v>1554</v>
      </c>
    </row>
    <row r="548" spans="1:2">
      <c r="A548" s="6" t="s">
        <v>1555</v>
      </c>
      <c r="B548" s="7" t="s">
        <v>1556</v>
      </c>
    </row>
    <row r="549" spans="1:2">
      <c r="A549" s="6" t="s">
        <v>1557</v>
      </c>
      <c r="B549" s="7" t="s">
        <v>1558</v>
      </c>
    </row>
    <row r="550" spans="1:2">
      <c r="A550" s="6" t="s">
        <v>1559</v>
      </c>
      <c r="B550" s="7" t="s">
        <v>1560</v>
      </c>
    </row>
    <row r="551" spans="1:2">
      <c r="A551" s="6" t="s">
        <v>1561</v>
      </c>
      <c r="B551" s="7" t="s">
        <v>1562</v>
      </c>
    </row>
    <row r="552" spans="1:2" ht="26.4">
      <c r="A552" s="6" t="s">
        <v>1563</v>
      </c>
      <c r="B552" s="7" t="s">
        <v>1564</v>
      </c>
    </row>
    <row r="553" spans="1:2">
      <c r="A553" s="6" t="s">
        <v>1565</v>
      </c>
      <c r="B553" s="7" t="s">
        <v>1566</v>
      </c>
    </row>
    <row r="554" spans="1:2" ht="26.4">
      <c r="A554" s="6" t="s">
        <v>1567</v>
      </c>
      <c r="B554" s="7" t="s">
        <v>1568</v>
      </c>
    </row>
    <row r="555" spans="1:2">
      <c r="A555" s="6" t="s">
        <v>1569</v>
      </c>
      <c r="B555" s="7" t="s">
        <v>1570</v>
      </c>
    </row>
    <row r="556" spans="1:2">
      <c r="A556" s="6" t="s">
        <v>1571</v>
      </c>
      <c r="B556" s="7" t="s">
        <v>1572</v>
      </c>
    </row>
    <row r="557" spans="1:2" ht="26.4">
      <c r="A557" s="6" t="s">
        <v>1573</v>
      </c>
      <c r="B557" s="7" t="s">
        <v>1574</v>
      </c>
    </row>
    <row r="558" spans="1:2">
      <c r="A558" s="6" t="s">
        <v>1575</v>
      </c>
      <c r="B558" s="7" t="s">
        <v>1576</v>
      </c>
    </row>
    <row r="559" spans="1:2">
      <c r="A559" s="6" t="s">
        <v>1577</v>
      </c>
      <c r="B559" s="7" t="s">
        <v>1578</v>
      </c>
    </row>
    <row r="560" spans="1:2">
      <c r="A560" s="6" t="s">
        <v>1579</v>
      </c>
      <c r="B560" s="7" t="s">
        <v>1580</v>
      </c>
    </row>
    <row r="561" spans="1:2" ht="26.4">
      <c r="A561" s="6" t="s">
        <v>1581</v>
      </c>
      <c r="B561" s="7" t="s">
        <v>1582</v>
      </c>
    </row>
    <row r="562" spans="1:2" ht="26.4">
      <c r="A562" s="6" t="s">
        <v>1583</v>
      </c>
      <c r="B562" s="7" t="s">
        <v>1584</v>
      </c>
    </row>
    <row r="563" spans="1:2" ht="26.4">
      <c r="A563" s="6" t="s">
        <v>1585</v>
      </c>
      <c r="B563" s="7" t="s">
        <v>1586</v>
      </c>
    </row>
    <row r="564" spans="1:2">
      <c r="A564" s="6" t="s">
        <v>1587</v>
      </c>
      <c r="B564" s="7" t="s">
        <v>1588</v>
      </c>
    </row>
    <row r="565" spans="1:2">
      <c r="A565" s="6" t="s">
        <v>1589</v>
      </c>
      <c r="B565" s="7" t="s">
        <v>1590</v>
      </c>
    </row>
    <row r="566" spans="1:2">
      <c r="A566" s="6" t="s">
        <v>1591</v>
      </c>
      <c r="B566" s="7" t="s">
        <v>1592</v>
      </c>
    </row>
    <row r="567" spans="1:2">
      <c r="A567" s="6" t="s">
        <v>1593</v>
      </c>
      <c r="B567" s="7" t="s">
        <v>1594</v>
      </c>
    </row>
    <row r="568" spans="1:2">
      <c r="A568" s="6" t="s">
        <v>1595</v>
      </c>
      <c r="B568" s="7" t="s">
        <v>1596</v>
      </c>
    </row>
    <row r="569" spans="1:2">
      <c r="A569" s="6" t="s">
        <v>1597</v>
      </c>
      <c r="B569" s="7" t="s">
        <v>1598</v>
      </c>
    </row>
    <row r="570" spans="1:2">
      <c r="A570" s="6" t="s">
        <v>1599</v>
      </c>
      <c r="B570" s="7" t="s">
        <v>1600</v>
      </c>
    </row>
    <row r="571" spans="1:2" ht="26.4">
      <c r="A571" s="6" t="s">
        <v>1601</v>
      </c>
      <c r="B571" s="7" t="s">
        <v>1602</v>
      </c>
    </row>
    <row r="572" spans="1:2">
      <c r="A572" s="6" t="s">
        <v>1603</v>
      </c>
      <c r="B572" s="7" t="s">
        <v>1604</v>
      </c>
    </row>
    <row r="573" spans="1:2">
      <c r="A573" s="6" t="s">
        <v>1605</v>
      </c>
      <c r="B573" s="7" t="s">
        <v>1606</v>
      </c>
    </row>
    <row r="574" spans="1:2">
      <c r="A574" s="6" t="s">
        <v>1607</v>
      </c>
      <c r="B574" s="7" t="s">
        <v>1608</v>
      </c>
    </row>
    <row r="575" spans="1:2" ht="26.4">
      <c r="A575" s="6" t="s">
        <v>1609</v>
      </c>
      <c r="B575" s="7" t="s">
        <v>1610</v>
      </c>
    </row>
    <row r="576" spans="1:2">
      <c r="A576" s="6" t="s">
        <v>1611</v>
      </c>
      <c r="B576" s="7" t="s">
        <v>1612</v>
      </c>
    </row>
    <row r="577" spans="1:2">
      <c r="A577" s="6" t="s">
        <v>1613</v>
      </c>
      <c r="B577" s="7" t="s">
        <v>1614</v>
      </c>
    </row>
    <row r="578" spans="1:2">
      <c r="A578" s="6" t="s">
        <v>1615</v>
      </c>
      <c r="B578" s="7" t="s">
        <v>1616</v>
      </c>
    </row>
    <row r="579" spans="1:2">
      <c r="A579" s="6" t="s">
        <v>1617</v>
      </c>
      <c r="B579" s="7" t="s">
        <v>1618</v>
      </c>
    </row>
    <row r="580" spans="1:2">
      <c r="A580" s="6" t="s">
        <v>1619</v>
      </c>
      <c r="B580" s="7" t="s">
        <v>1620</v>
      </c>
    </row>
    <row r="581" spans="1:2">
      <c r="A581" s="6" t="s">
        <v>1621</v>
      </c>
      <c r="B581" s="7" t="s">
        <v>1622</v>
      </c>
    </row>
    <row r="582" spans="1:2" ht="26.4">
      <c r="A582" s="6" t="s">
        <v>1623</v>
      </c>
      <c r="B582" s="7" t="s">
        <v>1624</v>
      </c>
    </row>
    <row r="583" spans="1:2">
      <c r="A583" s="6" t="s">
        <v>1625</v>
      </c>
      <c r="B583" s="7" t="s">
        <v>1626</v>
      </c>
    </row>
    <row r="584" spans="1:2">
      <c r="A584" s="6" t="s">
        <v>1627</v>
      </c>
      <c r="B584" s="7" t="s">
        <v>1628</v>
      </c>
    </row>
    <row r="585" spans="1:2">
      <c r="A585" s="6" t="s">
        <v>1629</v>
      </c>
      <c r="B585" s="7" t="s">
        <v>1630</v>
      </c>
    </row>
    <row r="586" spans="1:2">
      <c r="A586" s="6" t="s">
        <v>1631</v>
      </c>
      <c r="B586" s="7" t="s">
        <v>1632</v>
      </c>
    </row>
    <row r="587" spans="1:2">
      <c r="A587" s="6" t="s">
        <v>1633</v>
      </c>
      <c r="B587" s="7" t="s">
        <v>1634</v>
      </c>
    </row>
    <row r="588" spans="1:2">
      <c r="A588" s="6" t="s">
        <v>1635</v>
      </c>
      <c r="B588" s="7" t="s">
        <v>1636</v>
      </c>
    </row>
    <row r="589" spans="1:2">
      <c r="A589" s="6" t="s">
        <v>1637</v>
      </c>
      <c r="B589" s="7" t="s">
        <v>1638</v>
      </c>
    </row>
    <row r="590" spans="1:2">
      <c r="A590" s="6" t="s">
        <v>1639</v>
      </c>
      <c r="B590" s="7" t="s">
        <v>1640</v>
      </c>
    </row>
    <row r="591" spans="1:2">
      <c r="A591" s="6" t="s">
        <v>1641</v>
      </c>
      <c r="B591" s="7" t="s">
        <v>1642</v>
      </c>
    </row>
    <row r="592" spans="1:2">
      <c r="A592" s="6" t="s">
        <v>1643</v>
      </c>
      <c r="B592" s="7" t="s">
        <v>1644</v>
      </c>
    </row>
    <row r="593" spans="1:2">
      <c r="A593" s="6" t="s">
        <v>1645</v>
      </c>
      <c r="B593" s="7" t="s">
        <v>1646</v>
      </c>
    </row>
    <row r="594" spans="1:2">
      <c r="A594" s="6" t="s">
        <v>1647</v>
      </c>
      <c r="B594" s="7" t="s">
        <v>1648</v>
      </c>
    </row>
    <row r="595" spans="1:2">
      <c r="A595" s="6" t="s">
        <v>1649</v>
      </c>
      <c r="B595" s="7" t="s">
        <v>1650</v>
      </c>
    </row>
    <row r="596" spans="1:2">
      <c r="A596" s="6" t="s">
        <v>1651</v>
      </c>
      <c r="B596" s="7" t="s">
        <v>1652</v>
      </c>
    </row>
    <row r="597" spans="1:2">
      <c r="A597" s="6" t="s">
        <v>1653</v>
      </c>
      <c r="B597" s="7" t="s">
        <v>1654</v>
      </c>
    </row>
    <row r="598" spans="1:2" ht="26.4">
      <c r="A598" s="6" t="s">
        <v>1655</v>
      </c>
      <c r="B598" s="7" t="s">
        <v>1656</v>
      </c>
    </row>
    <row r="599" spans="1:2">
      <c r="A599" s="6" t="s">
        <v>1657</v>
      </c>
      <c r="B599" s="7" t="s">
        <v>1658</v>
      </c>
    </row>
    <row r="600" spans="1:2">
      <c r="A600" s="6" t="s">
        <v>1659</v>
      </c>
      <c r="B600" s="7" t="s">
        <v>1660</v>
      </c>
    </row>
    <row r="601" spans="1:2">
      <c r="A601" s="6" t="s">
        <v>1661</v>
      </c>
      <c r="B601" s="7" t="s">
        <v>1662</v>
      </c>
    </row>
    <row r="602" spans="1:2">
      <c r="A602" s="6" t="s">
        <v>1663</v>
      </c>
      <c r="B602" s="7" t="s">
        <v>1664</v>
      </c>
    </row>
    <row r="603" spans="1:2">
      <c r="A603" s="6" t="s">
        <v>1665</v>
      </c>
      <c r="B603" s="7" t="s">
        <v>1666</v>
      </c>
    </row>
    <row r="604" spans="1:2" ht="26.4">
      <c r="A604" s="6" t="s">
        <v>1667</v>
      </c>
      <c r="B604" s="7" t="s">
        <v>1668</v>
      </c>
    </row>
    <row r="605" spans="1:2">
      <c r="A605" s="6" t="s">
        <v>1669</v>
      </c>
      <c r="B605" s="7" t="s">
        <v>1670</v>
      </c>
    </row>
    <row r="606" spans="1:2">
      <c r="A606" s="6" t="s">
        <v>1671</v>
      </c>
      <c r="B606" s="7" t="s">
        <v>1672</v>
      </c>
    </row>
    <row r="607" spans="1:2" ht="26.4">
      <c r="A607" s="6" t="s">
        <v>1673</v>
      </c>
      <c r="B607" s="7" t="s">
        <v>1674</v>
      </c>
    </row>
    <row r="608" spans="1:2">
      <c r="A608" s="6" t="s">
        <v>1675</v>
      </c>
      <c r="B608" s="7" t="s">
        <v>1676</v>
      </c>
    </row>
    <row r="609" spans="1:2">
      <c r="A609" s="6" t="s">
        <v>1677</v>
      </c>
      <c r="B609" s="7" t="s">
        <v>1678</v>
      </c>
    </row>
    <row r="610" spans="1:2">
      <c r="A610" s="6" t="s">
        <v>1679</v>
      </c>
      <c r="B610" s="7" t="s">
        <v>1680</v>
      </c>
    </row>
    <row r="611" spans="1:2" ht="26.4">
      <c r="A611" s="6" t="s">
        <v>1681</v>
      </c>
      <c r="B611" s="7" t="s">
        <v>1682</v>
      </c>
    </row>
    <row r="612" spans="1:2">
      <c r="A612" s="6" t="s">
        <v>1683</v>
      </c>
      <c r="B612" s="7" t="s">
        <v>1684</v>
      </c>
    </row>
    <row r="613" spans="1:2">
      <c r="A613" s="6" t="s">
        <v>1685</v>
      </c>
      <c r="B613" s="7" t="s">
        <v>1686</v>
      </c>
    </row>
    <row r="614" spans="1:2">
      <c r="A614" s="6" t="s">
        <v>1687</v>
      </c>
      <c r="B614" s="7" t="s">
        <v>1688</v>
      </c>
    </row>
    <row r="615" spans="1:2" ht="26.4">
      <c r="A615" s="6" t="s">
        <v>1689</v>
      </c>
      <c r="B615" s="7" t="s">
        <v>1690</v>
      </c>
    </row>
    <row r="616" spans="1:2" ht="26.4">
      <c r="A616" s="6" t="s">
        <v>1691</v>
      </c>
      <c r="B616" s="7" t="s">
        <v>1692</v>
      </c>
    </row>
    <row r="617" spans="1:2" ht="26.4">
      <c r="A617" s="6" t="s">
        <v>1693</v>
      </c>
      <c r="B617" s="7" t="s">
        <v>1694</v>
      </c>
    </row>
    <row r="618" spans="1:2">
      <c r="A618" s="6" t="s">
        <v>1695</v>
      </c>
      <c r="B618" s="7" t="s">
        <v>1696</v>
      </c>
    </row>
    <row r="619" spans="1:2">
      <c r="A619" s="6" t="s">
        <v>1697</v>
      </c>
      <c r="B619" s="7" t="s">
        <v>1698</v>
      </c>
    </row>
    <row r="620" spans="1:2">
      <c r="A620" s="6" t="s">
        <v>1699</v>
      </c>
      <c r="B620" s="7" t="s">
        <v>1700</v>
      </c>
    </row>
    <row r="621" spans="1:2">
      <c r="A621" s="6" t="s">
        <v>1701</v>
      </c>
      <c r="B621" s="7" t="s">
        <v>1702</v>
      </c>
    </row>
    <row r="622" spans="1:2">
      <c r="A622" s="6" t="s">
        <v>1703</v>
      </c>
      <c r="B622" s="7" t="s">
        <v>1704</v>
      </c>
    </row>
    <row r="623" spans="1:2">
      <c r="A623" s="6" t="s">
        <v>1705</v>
      </c>
      <c r="B623" s="7" t="s">
        <v>1706</v>
      </c>
    </row>
    <row r="624" spans="1:2">
      <c r="A624" s="6" t="s">
        <v>1707</v>
      </c>
      <c r="B624" s="7" t="s">
        <v>1708</v>
      </c>
    </row>
    <row r="625" spans="1:2" ht="26.4">
      <c r="A625" s="6" t="s">
        <v>1709</v>
      </c>
      <c r="B625" s="7" t="s">
        <v>1710</v>
      </c>
    </row>
    <row r="626" spans="1:2">
      <c r="A626" s="6" t="s">
        <v>1711</v>
      </c>
      <c r="B626" s="7" t="s">
        <v>1712</v>
      </c>
    </row>
    <row r="627" spans="1:2">
      <c r="A627" s="6" t="s">
        <v>1713</v>
      </c>
      <c r="B627" s="7" t="s">
        <v>1714</v>
      </c>
    </row>
    <row r="628" spans="1:2">
      <c r="A628" s="6" t="s">
        <v>1715</v>
      </c>
      <c r="B628" s="7" t="s">
        <v>1716</v>
      </c>
    </row>
    <row r="629" spans="1:2">
      <c r="A629" s="6" t="s">
        <v>1717</v>
      </c>
      <c r="B629" s="7" t="s">
        <v>1718</v>
      </c>
    </row>
    <row r="630" spans="1:2">
      <c r="A630" s="6" t="s">
        <v>1719</v>
      </c>
      <c r="B630" s="7" t="s">
        <v>1720</v>
      </c>
    </row>
    <row r="631" spans="1:2">
      <c r="A631" s="6" t="s">
        <v>1721</v>
      </c>
      <c r="B631" s="7" t="s">
        <v>1722</v>
      </c>
    </row>
    <row r="632" spans="1:2">
      <c r="A632" s="6" t="s">
        <v>1723</v>
      </c>
      <c r="B632" s="7" t="s">
        <v>1724</v>
      </c>
    </row>
    <row r="633" spans="1:2">
      <c r="A633" s="6" t="s">
        <v>1725</v>
      </c>
      <c r="B633" s="7" t="s">
        <v>1726</v>
      </c>
    </row>
    <row r="634" spans="1:2">
      <c r="A634" s="6" t="s">
        <v>1727</v>
      </c>
      <c r="B634" s="7" t="s">
        <v>1728</v>
      </c>
    </row>
    <row r="635" spans="1:2">
      <c r="A635" s="6" t="s">
        <v>1729</v>
      </c>
      <c r="B635" s="7" t="s">
        <v>1730</v>
      </c>
    </row>
    <row r="636" spans="1:2">
      <c r="A636" s="6" t="s">
        <v>1731</v>
      </c>
      <c r="B636" s="7" t="s">
        <v>1732</v>
      </c>
    </row>
    <row r="637" spans="1:2">
      <c r="A637" s="6" t="s">
        <v>1733</v>
      </c>
      <c r="B637" s="7" t="s">
        <v>1734</v>
      </c>
    </row>
    <row r="638" spans="1:2">
      <c r="A638" s="6" t="s">
        <v>1735</v>
      </c>
      <c r="B638" s="7" t="s">
        <v>1736</v>
      </c>
    </row>
    <row r="639" spans="1:2">
      <c r="A639" s="6" t="s">
        <v>1737</v>
      </c>
      <c r="B639" s="7" t="s">
        <v>1738</v>
      </c>
    </row>
    <row r="640" spans="1:2">
      <c r="A640" s="6" t="s">
        <v>1739</v>
      </c>
      <c r="B640" s="7" t="s">
        <v>1740</v>
      </c>
    </row>
    <row r="641" spans="1:2">
      <c r="A641" s="6" t="s">
        <v>1741</v>
      </c>
      <c r="B641" s="7" t="s">
        <v>1742</v>
      </c>
    </row>
    <row r="642" spans="1:2">
      <c r="A642" s="6" t="s">
        <v>1743</v>
      </c>
      <c r="B642" s="7" t="s">
        <v>1744</v>
      </c>
    </row>
    <row r="643" spans="1:2">
      <c r="A643" s="6" t="s">
        <v>1745</v>
      </c>
      <c r="B643" s="7" t="s">
        <v>1746</v>
      </c>
    </row>
    <row r="644" spans="1:2">
      <c r="A644" s="6" t="s">
        <v>1747</v>
      </c>
      <c r="B644" s="7" t="s">
        <v>1748</v>
      </c>
    </row>
    <row r="645" spans="1:2">
      <c r="A645" s="6" t="s">
        <v>1749</v>
      </c>
      <c r="B645" s="7" t="s">
        <v>1750</v>
      </c>
    </row>
    <row r="646" spans="1:2">
      <c r="A646" s="6" t="s">
        <v>1751</v>
      </c>
      <c r="B646" s="7" t="s">
        <v>1752</v>
      </c>
    </row>
    <row r="647" spans="1:2">
      <c r="A647" s="6" t="s">
        <v>1753</v>
      </c>
      <c r="B647" s="7" t="s">
        <v>1754</v>
      </c>
    </row>
    <row r="648" spans="1:2">
      <c r="A648" s="6" t="s">
        <v>1755</v>
      </c>
      <c r="B648" s="7" t="s">
        <v>1756</v>
      </c>
    </row>
    <row r="649" spans="1:2">
      <c r="A649" s="6" t="s">
        <v>1757</v>
      </c>
      <c r="B649" s="7" t="s">
        <v>794</v>
      </c>
    </row>
    <row r="650" spans="1:2">
      <c r="A650" s="6" t="s">
        <v>1758</v>
      </c>
      <c r="B650" s="7" t="s">
        <v>1759</v>
      </c>
    </row>
    <row r="651" spans="1:2">
      <c r="A651" s="6" t="s">
        <v>1760</v>
      </c>
      <c r="B651" s="7" t="s">
        <v>1761</v>
      </c>
    </row>
    <row r="652" spans="1:2">
      <c r="A652" s="6" t="s">
        <v>1762</v>
      </c>
      <c r="B652" s="7" t="s">
        <v>1763</v>
      </c>
    </row>
    <row r="653" spans="1:2">
      <c r="A653" s="6" t="s">
        <v>1764</v>
      </c>
      <c r="B653" s="7" t="s">
        <v>1765</v>
      </c>
    </row>
    <row r="654" spans="1:2">
      <c r="A654" s="6" t="s">
        <v>1766</v>
      </c>
      <c r="B654" s="7" t="s">
        <v>1767</v>
      </c>
    </row>
    <row r="655" spans="1:2">
      <c r="A655" s="6" t="s">
        <v>1768</v>
      </c>
      <c r="B655" s="7" t="s">
        <v>1769</v>
      </c>
    </row>
    <row r="656" spans="1:2">
      <c r="A656" s="6" t="s">
        <v>1770</v>
      </c>
      <c r="B656" s="7" t="s">
        <v>1771</v>
      </c>
    </row>
    <row r="657" spans="1:2" ht="26.4">
      <c r="A657" s="6" t="s">
        <v>1772</v>
      </c>
      <c r="B657" s="7" t="s">
        <v>1773</v>
      </c>
    </row>
    <row r="658" spans="1:2">
      <c r="A658" s="6" t="s">
        <v>1774</v>
      </c>
      <c r="B658" s="7" t="s">
        <v>1775</v>
      </c>
    </row>
    <row r="659" spans="1:2" ht="26.4">
      <c r="A659" s="6" t="s">
        <v>1776</v>
      </c>
      <c r="B659" s="7" t="s">
        <v>1777</v>
      </c>
    </row>
    <row r="660" spans="1:2">
      <c r="A660" s="6" t="s">
        <v>1778</v>
      </c>
      <c r="B660" s="7" t="s">
        <v>1779</v>
      </c>
    </row>
    <row r="661" spans="1:2">
      <c r="A661" s="6" t="s">
        <v>1780</v>
      </c>
      <c r="B661" s="7" t="s">
        <v>1781</v>
      </c>
    </row>
    <row r="662" spans="1:2">
      <c r="A662" s="6" t="s">
        <v>1782</v>
      </c>
      <c r="B662" s="7" t="s">
        <v>1783</v>
      </c>
    </row>
    <row r="663" spans="1:2">
      <c r="A663" s="6" t="s">
        <v>1784</v>
      </c>
      <c r="B663" s="7" t="s">
        <v>1785</v>
      </c>
    </row>
    <row r="664" spans="1:2">
      <c r="A664" s="6" t="s">
        <v>1786</v>
      </c>
      <c r="B664" s="7" t="s">
        <v>1787</v>
      </c>
    </row>
    <row r="665" spans="1:2" ht="26.4">
      <c r="A665" s="6" t="s">
        <v>1788</v>
      </c>
      <c r="B665" s="7" t="s">
        <v>1789</v>
      </c>
    </row>
    <row r="666" spans="1:2" ht="26.4">
      <c r="A666" s="6" t="s">
        <v>1790</v>
      </c>
      <c r="B666" s="7" t="s">
        <v>1791</v>
      </c>
    </row>
    <row r="667" spans="1:2">
      <c r="A667" s="6" t="s">
        <v>1792</v>
      </c>
      <c r="B667" s="7" t="s">
        <v>1793</v>
      </c>
    </row>
    <row r="668" spans="1:2">
      <c r="A668" s="6" t="s">
        <v>1794</v>
      </c>
      <c r="B668" s="7" t="s">
        <v>1795</v>
      </c>
    </row>
    <row r="669" spans="1:2">
      <c r="A669" s="6" t="s">
        <v>1796</v>
      </c>
      <c r="B669" s="7" t="s">
        <v>1797</v>
      </c>
    </row>
    <row r="670" spans="1:2">
      <c r="A670" s="6" t="s">
        <v>1798</v>
      </c>
      <c r="B670" s="7" t="s">
        <v>1799</v>
      </c>
    </row>
    <row r="671" spans="1:2">
      <c r="A671" s="6" t="s">
        <v>1800</v>
      </c>
      <c r="B671" s="7" t="s">
        <v>1801</v>
      </c>
    </row>
    <row r="672" spans="1:2">
      <c r="A672" s="6" t="s">
        <v>1802</v>
      </c>
      <c r="B672" s="7" t="s">
        <v>1803</v>
      </c>
    </row>
    <row r="673" spans="1:2">
      <c r="A673" s="6" t="s">
        <v>1804</v>
      </c>
      <c r="B673" s="7" t="s">
        <v>1805</v>
      </c>
    </row>
    <row r="674" spans="1:2" ht="26.4">
      <c r="A674" s="6" t="s">
        <v>1806</v>
      </c>
      <c r="B674" s="7" t="s">
        <v>1807</v>
      </c>
    </row>
    <row r="675" spans="1:2">
      <c r="A675" s="6" t="s">
        <v>1808</v>
      </c>
      <c r="B675" s="7" t="s">
        <v>1809</v>
      </c>
    </row>
    <row r="676" spans="1:2">
      <c r="A676" s="6" t="s">
        <v>1810</v>
      </c>
      <c r="B676" s="7" t="s">
        <v>1811</v>
      </c>
    </row>
    <row r="677" spans="1:2">
      <c r="A677" s="6" t="s">
        <v>1812</v>
      </c>
      <c r="B677" s="7" t="s">
        <v>1813</v>
      </c>
    </row>
    <row r="678" spans="1:2">
      <c r="A678" s="6" t="s">
        <v>1814</v>
      </c>
      <c r="B678" s="7" t="s">
        <v>1815</v>
      </c>
    </row>
    <row r="679" spans="1:2">
      <c r="A679" s="6" t="s">
        <v>1816</v>
      </c>
      <c r="B679" s="7" t="s">
        <v>1817</v>
      </c>
    </row>
    <row r="680" spans="1:2">
      <c r="A680" s="6" t="s">
        <v>1818</v>
      </c>
      <c r="B680" s="7" t="s">
        <v>1819</v>
      </c>
    </row>
    <row r="681" spans="1:2" ht="26.4">
      <c r="A681" s="6" t="s">
        <v>1820</v>
      </c>
      <c r="B681" s="7" t="s">
        <v>1821</v>
      </c>
    </row>
    <row r="682" spans="1:2">
      <c r="A682" s="6" t="s">
        <v>1822</v>
      </c>
      <c r="B682" s="7" t="s">
        <v>1823</v>
      </c>
    </row>
    <row r="683" spans="1:2">
      <c r="A683" s="6" t="s">
        <v>1824</v>
      </c>
      <c r="B683" s="7" t="s">
        <v>1825</v>
      </c>
    </row>
    <row r="684" spans="1:2">
      <c r="A684" s="6" t="s">
        <v>1826</v>
      </c>
      <c r="B684" s="7" t="s">
        <v>1827</v>
      </c>
    </row>
    <row r="685" spans="1:2">
      <c r="A685" s="6" t="s">
        <v>1828</v>
      </c>
      <c r="B685" s="7" t="s">
        <v>1829</v>
      </c>
    </row>
    <row r="686" spans="1:2" ht="26.4">
      <c r="A686" s="6" t="s">
        <v>1830</v>
      </c>
      <c r="B686" s="7" t="s">
        <v>1831</v>
      </c>
    </row>
    <row r="687" spans="1:2">
      <c r="A687" s="6" t="s">
        <v>1832</v>
      </c>
      <c r="B687" s="7" t="s">
        <v>1833</v>
      </c>
    </row>
    <row r="688" spans="1:2">
      <c r="A688" s="6" t="s">
        <v>1834</v>
      </c>
      <c r="B688" s="7" t="s">
        <v>1835</v>
      </c>
    </row>
    <row r="689" spans="1:2">
      <c r="A689" s="6" t="s">
        <v>1836</v>
      </c>
      <c r="B689" s="7" t="s">
        <v>1837</v>
      </c>
    </row>
    <row r="690" spans="1:2">
      <c r="A690" s="6" t="s">
        <v>1838</v>
      </c>
      <c r="B690" s="7" t="s">
        <v>1839</v>
      </c>
    </row>
    <row r="691" spans="1:2">
      <c r="A691" s="6" t="s">
        <v>1840</v>
      </c>
      <c r="B691" s="7" t="s">
        <v>1841</v>
      </c>
    </row>
    <row r="692" spans="1:2">
      <c r="A692" s="6" t="s">
        <v>1842</v>
      </c>
      <c r="B692" s="7" t="s">
        <v>1843</v>
      </c>
    </row>
    <row r="693" spans="1:2" ht="26.4">
      <c r="A693" s="6" t="s">
        <v>1844</v>
      </c>
      <c r="B693" s="7" t="s">
        <v>1845</v>
      </c>
    </row>
    <row r="694" spans="1:2">
      <c r="A694" s="6" t="s">
        <v>1846</v>
      </c>
      <c r="B694" s="7" t="s">
        <v>1847</v>
      </c>
    </row>
    <row r="695" spans="1:2">
      <c r="A695" s="6" t="s">
        <v>1848</v>
      </c>
      <c r="B695" s="7" t="s">
        <v>1849</v>
      </c>
    </row>
    <row r="696" spans="1:2">
      <c r="A696" s="6" t="s">
        <v>1850</v>
      </c>
      <c r="B696" s="7" t="s">
        <v>1851</v>
      </c>
    </row>
    <row r="697" spans="1:2" ht="26.4">
      <c r="A697" s="6" t="s">
        <v>1852</v>
      </c>
      <c r="B697" s="7" t="s">
        <v>1853</v>
      </c>
    </row>
    <row r="698" spans="1:2">
      <c r="A698" s="6" t="s">
        <v>1854</v>
      </c>
      <c r="B698" s="7" t="s">
        <v>1855</v>
      </c>
    </row>
    <row r="699" spans="1:2" ht="26.4">
      <c r="A699" s="6" t="s">
        <v>1856</v>
      </c>
      <c r="B699" s="7" t="s">
        <v>1857</v>
      </c>
    </row>
    <row r="700" spans="1:2">
      <c r="A700" s="6" t="s">
        <v>1858</v>
      </c>
      <c r="B700" s="7" t="s">
        <v>1859</v>
      </c>
    </row>
    <row r="701" spans="1:2">
      <c r="A701" s="6" t="s">
        <v>1860</v>
      </c>
      <c r="B701" s="7" t="s">
        <v>1861</v>
      </c>
    </row>
    <row r="702" spans="1:2">
      <c r="A702" s="6" t="s">
        <v>1862</v>
      </c>
      <c r="B702" s="7" t="s">
        <v>1863</v>
      </c>
    </row>
    <row r="703" spans="1:2" ht="26.4">
      <c r="A703" s="6" t="s">
        <v>1864</v>
      </c>
      <c r="B703" s="7" t="s">
        <v>1865</v>
      </c>
    </row>
    <row r="704" spans="1:2">
      <c r="A704" s="6" t="s">
        <v>1866</v>
      </c>
      <c r="B704" s="7" t="s">
        <v>1867</v>
      </c>
    </row>
    <row r="705" spans="1:2" ht="26.4">
      <c r="A705" s="6" t="s">
        <v>1868</v>
      </c>
      <c r="B705" s="7" t="s">
        <v>1869</v>
      </c>
    </row>
    <row r="706" spans="1:2">
      <c r="A706" s="6" t="s">
        <v>1870</v>
      </c>
      <c r="B706" s="7" t="s">
        <v>1871</v>
      </c>
    </row>
    <row r="707" spans="1:2">
      <c r="A707" s="6" t="s">
        <v>1872</v>
      </c>
      <c r="B707" s="7" t="s">
        <v>1873</v>
      </c>
    </row>
    <row r="708" spans="1:2" ht="26.4">
      <c r="A708" s="6" t="s">
        <v>1874</v>
      </c>
      <c r="B708" s="7" t="s">
        <v>1875</v>
      </c>
    </row>
    <row r="709" spans="1:2" ht="26.4">
      <c r="A709" s="6" t="s">
        <v>1876</v>
      </c>
      <c r="B709" s="7" t="s">
        <v>1877</v>
      </c>
    </row>
    <row r="710" spans="1:2">
      <c r="A710" s="6" t="s">
        <v>1878</v>
      </c>
      <c r="B710" s="7" t="s">
        <v>1879</v>
      </c>
    </row>
    <row r="711" spans="1:2" ht="26.4">
      <c r="A711" s="6" t="s">
        <v>1880</v>
      </c>
      <c r="B711" s="7" t="s">
        <v>1881</v>
      </c>
    </row>
    <row r="712" spans="1:2" ht="26.4">
      <c r="A712" s="6" t="s">
        <v>1882</v>
      </c>
      <c r="B712" s="7" t="s">
        <v>1883</v>
      </c>
    </row>
    <row r="713" spans="1:2" ht="26.4">
      <c r="A713" s="6" t="s">
        <v>1884</v>
      </c>
      <c r="B713" s="7" t="s">
        <v>1885</v>
      </c>
    </row>
    <row r="714" spans="1:2">
      <c r="A714" s="6" t="s">
        <v>1886</v>
      </c>
      <c r="B714" s="7" t="s">
        <v>1887</v>
      </c>
    </row>
    <row r="715" spans="1:2">
      <c r="A715" s="6" t="s">
        <v>1888</v>
      </c>
      <c r="B715" s="7" t="s">
        <v>1889</v>
      </c>
    </row>
    <row r="716" spans="1:2">
      <c r="A716" s="6" t="s">
        <v>1890</v>
      </c>
      <c r="B716" s="7" t="s">
        <v>1891</v>
      </c>
    </row>
    <row r="717" spans="1:2" ht="26.4">
      <c r="A717" s="6" t="s">
        <v>1892</v>
      </c>
      <c r="B717" s="7" t="s">
        <v>1893</v>
      </c>
    </row>
    <row r="718" spans="1:2">
      <c r="A718" s="6" t="s">
        <v>1894</v>
      </c>
      <c r="B718" s="7" t="s">
        <v>1895</v>
      </c>
    </row>
    <row r="719" spans="1:2">
      <c r="A719" s="6" t="s">
        <v>1896</v>
      </c>
      <c r="B719" s="7" t="s">
        <v>1897</v>
      </c>
    </row>
    <row r="720" spans="1:2" ht="26.4">
      <c r="A720" s="6" t="s">
        <v>1898</v>
      </c>
      <c r="B720" s="7" t="s">
        <v>1899</v>
      </c>
    </row>
    <row r="721" spans="1:2">
      <c r="A721" s="6" t="s">
        <v>1900</v>
      </c>
      <c r="B721" s="7" t="s">
        <v>1901</v>
      </c>
    </row>
    <row r="722" spans="1:2">
      <c r="A722" s="6" t="s">
        <v>1902</v>
      </c>
      <c r="B722" s="7" t="s">
        <v>1903</v>
      </c>
    </row>
    <row r="723" spans="1:2">
      <c r="A723" s="6" t="s">
        <v>1904</v>
      </c>
      <c r="B723" s="7" t="s">
        <v>1905</v>
      </c>
    </row>
    <row r="724" spans="1:2">
      <c r="A724" s="6" t="s">
        <v>1906</v>
      </c>
      <c r="B724" s="7" t="s">
        <v>1907</v>
      </c>
    </row>
    <row r="725" spans="1:2">
      <c r="A725" s="6" t="s">
        <v>1908</v>
      </c>
      <c r="B725" s="7" t="s">
        <v>1909</v>
      </c>
    </row>
    <row r="726" spans="1:2">
      <c r="A726" s="6" t="s">
        <v>1910</v>
      </c>
      <c r="B726" s="7" t="s">
        <v>1911</v>
      </c>
    </row>
    <row r="727" spans="1:2">
      <c r="A727" s="6" t="s">
        <v>1912</v>
      </c>
      <c r="B727" s="7" t="s">
        <v>1913</v>
      </c>
    </row>
    <row r="728" spans="1:2">
      <c r="A728" s="6" t="s">
        <v>1914</v>
      </c>
      <c r="B728" s="7" t="s">
        <v>1915</v>
      </c>
    </row>
    <row r="729" spans="1:2">
      <c r="A729" s="6" t="s">
        <v>1916</v>
      </c>
      <c r="B729" s="7" t="s">
        <v>1917</v>
      </c>
    </row>
    <row r="730" spans="1:2">
      <c r="A730" s="6" t="s">
        <v>1918</v>
      </c>
      <c r="B730" s="7" t="s">
        <v>1919</v>
      </c>
    </row>
    <row r="731" spans="1:2">
      <c r="A731" s="6" t="s">
        <v>1920</v>
      </c>
      <c r="B731" s="7" t="s">
        <v>1919</v>
      </c>
    </row>
    <row r="732" spans="1:2">
      <c r="A732" s="6" t="s">
        <v>1921</v>
      </c>
      <c r="B732" s="7" t="s">
        <v>1922</v>
      </c>
    </row>
    <row r="733" spans="1:2">
      <c r="A733" s="6" t="s">
        <v>1923</v>
      </c>
      <c r="B733" s="7" t="s">
        <v>1924</v>
      </c>
    </row>
    <row r="734" spans="1:2">
      <c r="A734" s="6" t="s">
        <v>1925</v>
      </c>
      <c r="B734" s="7" t="s">
        <v>1926</v>
      </c>
    </row>
    <row r="735" spans="1:2">
      <c r="A735" s="6" t="s">
        <v>1927</v>
      </c>
      <c r="B735" s="7" t="s">
        <v>1928</v>
      </c>
    </row>
    <row r="736" spans="1:2">
      <c r="A736" s="6" t="s">
        <v>1929</v>
      </c>
      <c r="B736" s="7" t="s">
        <v>1732</v>
      </c>
    </row>
    <row r="737" spans="1:2">
      <c r="A737" s="6" t="s">
        <v>1930</v>
      </c>
      <c r="B737" s="7" t="s">
        <v>1931</v>
      </c>
    </row>
    <row r="738" spans="1:2" ht="26.4">
      <c r="A738" s="6" t="s">
        <v>1932</v>
      </c>
      <c r="B738" s="7" t="s">
        <v>1933</v>
      </c>
    </row>
    <row r="739" spans="1:2">
      <c r="A739" s="6" t="s">
        <v>1934</v>
      </c>
      <c r="B739" s="7" t="s">
        <v>1935</v>
      </c>
    </row>
    <row r="740" spans="1:2">
      <c r="A740" s="6" t="s">
        <v>1936</v>
      </c>
      <c r="B740" s="7" t="s">
        <v>1937</v>
      </c>
    </row>
    <row r="741" spans="1:2">
      <c r="A741" s="6" t="s">
        <v>1938</v>
      </c>
      <c r="B741" s="7" t="s">
        <v>1939</v>
      </c>
    </row>
    <row r="742" spans="1:2">
      <c r="A742" s="6" t="s">
        <v>1940</v>
      </c>
      <c r="B742" s="7" t="s">
        <v>1941</v>
      </c>
    </row>
    <row r="743" spans="1:2" ht="26.4">
      <c r="A743" s="6" t="s">
        <v>1942</v>
      </c>
      <c r="B743" s="7" t="s">
        <v>1943</v>
      </c>
    </row>
    <row r="744" spans="1:2">
      <c r="A744" s="6" t="s">
        <v>1944</v>
      </c>
      <c r="B744" s="7" t="s">
        <v>1945</v>
      </c>
    </row>
    <row r="745" spans="1:2">
      <c r="A745" s="6" t="s">
        <v>1946</v>
      </c>
      <c r="B745" s="7" t="s">
        <v>1947</v>
      </c>
    </row>
    <row r="746" spans="1:2">
      <c r="A746" s="6" t="s">
        <v>1948</v>
      </c>
      <c r="B746" s="7" t="s">
        <v>1949</v>
      </c>
    </row>
    <row r="747" spans="1:2">
      <c r="A747" s="6" t="s">
        <v>1950</v>
      </c>
      <c r="B747" s="7" t="s">
        <v>1951</v>
      </c>
    </row>
    <row r="748" spans="1:2">
      <c r="A748" s="6" t="s">
        <v>1952</v>
      </c>
      <c r="B748" s="7" t="s">
        <v>1953</v>
      </c>
    </row>
    <row r="749" spans="1:2">
      <c r="A749" s="6" t="s">
        <v>1954</v>
      </c>
      <c r="B749" s="7" t="s">
        <v>1955</v>
      </c>
    </row>
    <row r="750" spans="1:2">
      <c r="A750" s="6" t="s">
        <v>1956</v>
      </c>
      <c r="B750" s="7" t="s">
        <v>1957</v>
      </c>
    </row>
    <row r="751" spans="1:2">
      <c r="A751" s="6" t="s">
        <v>1958</v>
      </c>
      <c r="B751" s="7" t="s">
        <v>696</v>
      </c>
    </row>
    <row r="752" spans="1:2">
      <c r="A752" s="6" t="s">
        <v>1959</v>
      </c>
      <c r="B752" s="7" t="s">
        <v>1960</v>
      </c>
    </row>
    <row r="753" spans="1:2" ht="26.4">
      <c r="A753" s="6" t="s">
        <v>1961</v>
      </c>
      <c r="B753" s="7" t="s">
        <v>1962</v>
      </c>
    </row>
    <row r="754" spans="1:2">
      <c r="A754" s="6" t="s">
        <v>1963</v>
      </c>
      <c r="B754" s="7" t="s">
        <v>1964</v>
      </c>
    </row>
    <row r="755" spans="1:2" ht="26.4">
      <c r="A755" s="6" t="s">
        <v>1965</v>
      </c>
      <c r="B755" s="7" t="s">
        <v>1966</v>
      </c>
    </row>
    <row r="756" spans="1:2" ht="26.4">
      <c r="A756" s="6" t="s">
        <v>1967</v>
      </c>
      <c r="B756" s="7" t="s">
        <v>1968</v>
      </c>
    </row>
    <row r="757" spans="1:2" ht="26.4">
      <c r="A757" s="6" t="s">
        <v>1969</v>
      </c>
      <c r="B757" s="7" t="s">
        <v>1970</v>
      </c>
    </row>
    <row r="758" spans="1:2" ht="26.4">
      <c r="A758" s="6" t="s">
        <v>1971</v>
      </c>
      <c r="B758" s="7" t="s">
        <v>1972</v>
      </c>
    </row>
    <row r="759" spans="1:2">
      <c r="A759" s="6" t="s">
        <v>1973</v>
      </c>
      <c r="B759" s="7" t="s">
        <v>1974</v>
      </c>
    </row>
    <row r="760" spans="1:2">
      <c r="A760" s="6" t="s">
        <v>1975</v>
      </c>
      <c r="B760" s="7" t="s">
        <v>1976</v>
      </c>
    </row>
    <row r="761" spans="1:2">
      <c r="A761" s="6" t="s">
        <v>1977</v>
      </c>
      <c r="B761" s="7" t="s">
        <v>1978</v>
      </c>
    </row>
    <row r="762" spans="1:2">
      <c r="A762" s="6" t="s">
        <v>1979</v>
      </c>
      <c r="B762" s="7" t="s">
        <v>1980</v>
      </c>
    </row>
    <row r="763" spans="1:2" ht="26.4">
      <c r="A763" s="6" t="s">
        <v>1981</v>
      </c>
      <c r="B763" s="7" t="s">
        <v>1982</v>
      </c>
    </row>
    <row r="764" spans="1:2" ht="26.4">
      <c r="A764" s="6" t="s">
        <v>1983</v>
      </c>
      <c r="B764" s="7" t="s">
        <v>1984</v>
      </c>
    </row>
    <row r="765" spans="1:2">
      <c r="A765" s="6" t="s">
        <v>1985</v>
      </c>
      <c r="B765" s="7" t="s">
        <v>1986</v>
      </c>
    </row>
    <row r="766" spans="1:2">
      <c r="A766" s="6" t="s">
        <v>1987</v>
      </c>
      <c r="B766" s="7" t="s">
        <v>1988</v>
      </c>
    </row>
    <row r="767" spans="1:2">
      <c r="A767" s="6" t="s">
        <v>1989</v>
      </c>
      <c r="B767" s="7" t="s">
        <v>1990</v>
      </c>
    </row>
    <row r="768" spans="1:2" ht="26.4">
      <c r="A768" s="6" t="s">
        <v>1991</v>
      </c>
      <c r="B768" s="7" t="s">
        <v>1992</v>
      </c>
    </row>
    <row r="769" spans="1:2">
      <c r="A769" s="6" t="s">
        <v>1993</v>
      </c>
      <c r="B769" s="7" t="s">
        <v>1994</v>
      </c>
    </row>
    <row r="770" spans="1:2">
      <c r="A770" s="6" t="s">
        <v>1995</v>
      </c>
      <c r="B770" s="7" t="s">
        <v>1996</v>
      </c>
    </row>
    <row r="771" spans="1:2" ht="26.4">
      <c r="A771" s="6" t="s">
        <v>1997</v>
      </c>
      <c r="B771" s="7" t="s">
        <v>1998</v>
      </c>
    </row>
    <row r="772" spans="1:2">
      <c r="A772" s="6" t="s">
        <v>1999</v>
      </c>
      <c r="B772" s="7" t="s">
        <v>2000</v>
      </c>
    </row>
    <row r="773" spans="1:2">
      <c r="A773" s="6" t="s">
        <v>2001</v>
      </c>
      <c r="B773" s="7" t="s">
        <v>2002</v>
      </c>
    </row>
    <row r="774" spans="1:2">
      <c r="A774" s="6" t="s">
        <v>2003</v>
      </c>
      <c r="B774" s="7" t="s">
        <v>2004</v>
      </c>
    </row>
    <row r="775" spans="1:2">
      <c r="A775" s="6" t="s">
        <v>2005</v>
      </c>
      <c r="B775" s="7" t="s">
        <v>2006</v>
      </c>
    </row>
    <row r="776" spans="1:2">
      <c r="A776" s="6" t="s">
        <v>2007</v>
      </c>
      <c r="B776" s="7" t="s">
        <v>2008</v>
      </c>
    </row>
    <row r="777" spans="1:2">
      <c r="A777" s="6" t="s">
        <v>2009</v>
      </c>
      <c r="B777" s="7" t="s">
        <v>2010</v>
      </c>
    </row>
    <row r="778" spans="1:2" ht="26.4">
      <c r="A778" s="6" t="s">
        <v>2011</v>
      </c>
      <c r="B778" s="7" t="s">
        <v>2012</v>
      </c>
    </row>
    <row r="779" spans="1:2">
      <c r="A779" s="6" t="s">
        <v>2013</v>
      </c>
      <c r="B779" s="7" t="s">
        <v>2014</v>
      </c>
    </row>
    <row r="780" spans="1:2" ht="26.4">
      <c r="A780" s="6" t="s">
        <v>2015</v>
      </c>
      <c r="B780" s="7" t="s">
        <v>2016</v>
      </c>
    </row>
    <row r="781" spans="1:2">
      <c r="A781" s="6" t="s">
        <v>2017</v>
      </c>
      <c r="B781" s="7" t="s">
        <v>2018</v>
      </c>
    </row>
    <row r="782" spans="1:2">
      <c r="A782" s="6" t="s">
        <v>2019</v>
      </c>
      <c r="B782" s="7" t="s">
        <v>2020</v>
      </c>
    </row>
    <row r="783" spans="1:2" ht="26.4">
      <c r="A783" s="6" t="s">
        <v>2021</v>
      </c>
      <c r="B783" s="7" t="s">
        <v>2022</v>
      </c>
    </row>
    <row r="784" spans="1:2">
      <c r="A784" s="6" t="s">
        <v>2023</v>
      </c>
      <c r="B784" s="7" t="s">
        <v>2024</v>
      </c>
    </row>
    <row r="785" spans="1:2">
      <c r="A785" s="6" t="s">
        <v>2025</v>
      </c>
      <c r="B785" s="7" t="s">
        <v>2026</v>
      </c>
    </row>
    <row r="786" spans="1:2">
      <c r="A786" s="6" t="s">
        <v>2027</v>
      </c>
      <c r="B786" s="7" t="s">
        <v>2028</v>
      </c>
    </row>
    <row r="787" spans="1:2">
      <c r="A787" s="6" t="s">
        <v>2029</v>
      </c>
      <c r="B787" s="7" t="s">
        <v>2014</v>
      </c>
    </row>
    <row r="788" spans="1:2">
      <c r="A788" s="6" t="s">
        <v>2030</v>
      </c>
      <c r="B788" s="7" t="s">
        <v>2031</v>
      </c>
    </row>
    <row r="789" spans="1:2">
      <c r="A789" s="6" t="s">
        <v>2032</v>
      </c>
      <c r="B789" s="7" t="s">
        <v>2033</v>
      </c>
    </row>
    <row r="790" spans="1:2">
      <c r="A790" s="6" t="s">
        <v>2034</v>
      </c>
      <c r="B790" s="7" t="s">
        <v>2035</v>
      </c>
    </row>
    <row r="791" spans="1:2">
      <c r="A791" s="6" t="s">
        <v>2036</v>
      </c>
      <c r="B791" s="7" t="s">
        <v>2037</v>
      </c>
    </row>
    <row r="792" spans="1:2">
      <c r="A792" s="6" t="s">
        <v>2038</v>
      </c>
      <c r="B792" s="7" t="s">
        <v>2039</v>
      </c>
    </row>
    <row r="793" spans="1:2">
      <c r="A793" s="6" t="s">
        <v>2040</v>
      </c>
      <c r="B793" s="7" t="s">
        <v>2041</v>
      </c>
    </row>
    <row r="794" spans="1:2">
      <c r="A794" s="6" t="s">
        <v>2042</v>
      </c>
      <c r="B794" s="7" t="s">
        <v>2043</v>
      </c>
    </row>
    <row r="795" spans="1:2">
      <c r="A795" s="6" t="s">
        <v>2044</v>
      </c>
      <c r="B795" s="7" t="s">
        <v>2045</v>
      </c>
    </row>
    <row r="796" spans="1:2">
      <c r="A796" s="6" t="s">
        <v>2046</v>
      </c>
      <c r="B796" s="7" t="s">
        <v>2047</v>
      </c>
    </row>
    <row r="797" spans="1:2">
      <c r="A797" s="6" t="s">
        <v>2048</v>
      </c>
      <c r="B797" s="7" t="s">
        <v>2049</v>
      </c>
    </row>
    <row r="798" spans="1:2">
      <c r="A798" s="6" t="s">
        <v>2050</v>
      </c>
      <c r="B798" s="7" t="s">
        <v>2051</v>
      </c>
    </row>
    <row r="799" spans="1:2">
      <c r="A799" s="6" t="s">
        <v>2052</v>
      </c>
      <c r="B799" s="7" t="s">
        <v>2053</v>
      </c>
    </row>
    <row r="800" spans="1:2">
      <c r="A800" s="6" t="s">
        <v>2054</v>
      </c>
      <c r="B800" s="7" t="s">
        <v>2055</v>
      </c>
    </row>
    <row r="801" spans="1:2">
      <c r="A801" s="6" t="s">
        <v>2056</v>
      </c>
      <c r="B801" s="7" t="s">
        <v>2057</v>
      </c>
    </row>
    <row r="802" spans="1:2">
      <c r="A802" s="6" t="s">
        <v>2058</v>
      </c>
      <c r="B802" s="7" t="s">
        <v>2059</v>
      </c>
    </row>
    <row r="803" spans="1:2">
      <c r="A803" s="6" t="s">
        <v>2060</v>
      </c>
      <c r="B803" s="7" t="s">
        <v>2061</v>
      </c>
    </row>
    <row r="804" spans="1:2">
      <c r="A804" s="6" t="s">
        <v>2062</v>
      </c>
      <c r="B804" s="7" t="s">
        <v>2063</v>
      </c>
    </row>
    <row r="805" spans="1:2">
      <c r="A805" s="6" t="s">
        <v>2064</v>
      </c>
      <c r="B805" s="7" t="s">
        <v>2065</v>
      </c>
    </row>
    <row r="806" spans="1:2">
      <c r="A806" s="6" t="s">
        <v>2066</v>
      </c>
      <c r="B806" s="7" t="s">
        <v>2067</v>
      </c>
    </row>
    <row r="807" spans="1:2">
      <c r="A807" s="6" t="s">
        <v>2068</v>
      </c>
      <c r="B807" s="7" t="s">
        <v>2069</v>
      </c>
    </row>
    <row r="808" spans="1:2" ht="26.4">
      <c r="A808" s="6" t="s">
        <v>2070</v>
      </c>
      <c r="B808" s="7" t="s">
        <v>2071</v>
      </c>
    </row>
    <row r="809" spans="1:2">
      <c r="A809" s="6" t="s">
        <v>2072</v>
      </c>
      <c r="B809" s="7" t="s">
        <v>2073</v>
      </c>
    </row>
    <row r="810" spans="1:2">
      <c r="A810" s="6" t="s">
        <v>2074</v>
      </c>
      <c r="B810" s="7" t="s">
        <v>2075</v>
      </c>
    </row>
    <row r="811" spans="1:2">
      <c r="A811" s="6" t="s">
        <v>2076</v>
      </c>
      <c r="B811" s="7" t="s">
        <v>2077</v>
      </c>
    </row>
    <row r="812" spans="1:2" ht="26.4">
      <c r="A812" s="6" t="s">
        <v>2078</v>
      </c>
      <c r="B812" s="7" t="s">
        <v>2079</v>
      </c>
    </row>
    <row r="813" spans="1:2">
      <c r="A813" s="6" t="s">
        <v>2080</v>
      </c>
      <c r="B813" s="7" t="s">
        <v>2081</v>
      </c>
    </row>
    <row r="814" spans="1:2">
      <c r="A814" s="6" t="s">
        <v>2082</v>
      </c>
      <c r="B814" s="7" t="s">
        <v>2083</v>
      </c>
    </row>
    <row r="815" spans="1:2">
      <c r="A815" s="6" t="s">
        <v>2084</v>
      </c>
      <c r="B815" s="7" t="s">
        <v>2085</v>
      </c>
    </row>
    <row r="816" spans="1:2">
      <c r="A816" s="6" t="s">
        <v>2086</v>
      </c>
      <c r="B816" s="7" t="s">
        <v>2087</v>
      </c>
    </row>
    <row r="817" spans="1:2">
      <c r="A817" s="6" t="s">
        <v>2088</v>
      </c>
      <c r="B817" s="7" t="s">
        <v>2089</v>
      </c>
    </row>
    <row r="818" spans="1:2">
      <c r="A818" s="6" t="s">
        <v>2090</v>
      </c>
      <c r="B818" s="7" t="s">
        <v>2091</v>
      </c>
    </row>
    <row r="819" spans="1:2">
      <c r="A819" s="6" t="s">
        <v>2092</v>
      </c>
      <c r="B819" s="7" t="s">
        <v>2093</v>
      </c>
    </row>
    <row r="820" spans="1:2">
      <c r="A820" s="6" t="s">
        <v>2094</v>
      </c>
      <c r="B820" s="7" t="s">
        <v>2095</v>
      </c>
    </row>
    <row r="821" spans="1:2">
      <c r="A821" s="6" t="s">
        <v>2096</v>
      </c>
      <c r="B821" s="7" t="s">
        <v>2097</v>
      </c>
    </row>
    <row r="822" spans="1:2">
      <c r="A822" s="6" t="s">
        <v>2098</v>
      </c>
      <c r="B822" s="7" t="s">
        <v>2099</v>
      </c>
    </row>
    <row r="823" spans="1:2">
      <c r="A823" s="6" t="s">
        <v>2100</v>
      </c>
      <c r="B823" s="7" t="s">
        <v>2101</v>
      </c>
    </row>
    <row r="824" spans="1:2">
      <c r="A824" s="6" t="s">
        <v>2102</v>
      </c>
      <c r="B824" s="7" t="s">
        <v>2103</v>
      </c>
    </row>
    <row r="825" spans="1:2">
      <c r="A825" s="6" t="s">
        <v>2104</v>
      </c>
      <c r="B825" s="7" t="s">
        <v>2105</v>
      </c>
    </row>
    <row r="826" spans="1:2">
      <c r="A826" s="6" t="s">
        <v>2106</v>
      </c>
      <c r="B826" s="7" t="s">
        <v>2107</v>
      </c>
    </row>
    <row r="827" spans="1:2">
      <c r="A827" s="6" t="s">
        <v>2108</v>
      </c>
      <c r="B827" s="7" t="s">
        <v>2109</v>
      </c>
    </row>
    <row r="828" spans="1:2">
      <c r="A828" s="6" t="s">
        <v>2110</v>
      </c>
      <c r="B828" s="7" t="s">
        <v>2111</v>
      </c>
    </row>
    <row r="829" spans="1:2">
      <c r="A829" s="6" t="s">
        <v>2112</v>
      </c>
      <c r="B829" s="7" t="s">
        <v>2113</v>
      </c>
    </row>
    <row r="830" spans="1:2">
      <c r="A830" s="6" t="s">
        <v>2114</v>
      </c>
      <c r="B830" s="7" t="s">
        <v>2115</v>
      </c>
    </row>
    <row r="831" spans="1:2">
      <c r="A831" s="6" t="s">
        <v>2116</v>
      </c>
      <c r="B831" s="7" t="s">
        <v>2117</v>
      </c>
    </row>
    <row r="832" spans="1:2">
      <c r="A832" s="6" t="s">
        <v>2118</v>
      </c>
      <c r="B832" s="7" t="s">
        <v>2119</v>
      </c>
    </row>
    <row r="833" spans="1:2" ht="26.4">
      <c r="A833" s="6" t="s">
        <v>2120</v>
      </c>
      <c r="B833" s="7" t="s">
        <v>2121</v>
      </c>
    </row>
    <row r="834" spans="1:2" ht="26.4">
      <c r="A834" s="6" t="s">
        <v>2122</v>
      </c>
      <c r="B834" s="7" t="s">
        <v>2123</v>
      </c>
    </row>
    <row r="835" spans="1:2">
      <c r="A835" s="6" t="s">
        <v>2124</v>
      </c>
      <c r="B835" s="7" t="s">
        <v>2125</v>
      </c>
    </row>
    <row r="836" spans="1:2" ht="26.4">
      <c r="A836" s="6" t="s">
        <v>2126</v>
      </c>
      <c r="B836" s="7" t="s">
        <v>2127</v>
      </c>
    </row>
    <row r="837" spans="1:2">
      <c r="A837" s="6" t="s">
        <v>2128</v>
      </c>
      <c r="B837" s="7" t="s">
        <v>2129</v>
      </c>
    </row>
    <row r="838" spans="1:2">
      <c r="A838" s="6" t="s">
        <v>2130</v>
      </c>
      <c r="B838" s="7" t="s">
        <v>2131</v>
      </c>
    </row>
    <row r="839" spans="1:2" ht="26.4">
      <c r="A839" s="6" t="s">
        <v>2132</v>
      </c>
      <c r="B839" s="7" t="s">
        <v>2133</v>
      </c>
    </row>
    <row r="840" spans="1:2">
      <c r="A840" s="6" t="s">
        <v>2134</v>
      </c>
      <c r="B840" s="7" t="s">
        <v>2135</v>
      </c>
    </row>
    <row r="841" spans="1:2">
      <c r="A841" s="6" t="s">
        <v>2136</v>
      </c>
      <c r="B841" s="7" t="s">
        <v>2137</v>
      </c>
    </row>
    <row r="842" spans="1:2">
      <c r="A842" s="6" t="s">
        <v>2138</v>
      </c>
      <c r="B842" s="7" t="s">
        <v>2139</v>
      </c>
    </row>
    <row r="843" spans="1:2">
      <c r="A843" s="6" t="s">
        <v>2140</v>
      </c>
      <c r="B843" s="7" t="s">
        <v>2141</v>
      </c>
    </row>
    <row r="844" spans="1:2">
      <c r="A844" s="6" t="s">
        <v>2142</v>
      </c>
      <c r="B844" s="7" t="s">
        <v>2143</v>
      </c>
    </row>
    <row r="845" spans="1:2">
      <c r="A845" s="6" t="s">
        <v>2144</v>
      </c>
      <c r="B845" s="7" t="s">
        <v>2145</v>
      </c>
    </row>
    <row r="846" spans="1:2">
      <c r="A846" s="6" t="s">
        <v>2146</v>
      </c>
      <c r="B846" s="7" t="s">
        <v>2147</v>
      </c>
    </row>
    <row r="847" spans="1:2">
      <c r="A847" s="6" t="s">
        <v>2148</v>
      </c>
      <c r="B847" s="7" t="s">
        <v>2149</v>
      </c>
    </row>
    <row r="848" spans="1:2">
      <c r="A848" s="6" t="s">
        <v>2150</v>
      </c>
      <c r="B848" s="7" t="s">
        <v>2151</v>
      </c>
    </row>
    <row r="849" spans="1:2" ht="26.4">
      <c r="A849" s="6" t="s">
        <v>2152</v>
      </c>
      <c r="B849" s="7" t="s">
        <v>2153</v>
      </c>
    </row>
    <row r="850" spans="1:2">
      <c r="A850" s="6" t="s">
        <v>2154</v>
      </c>
      <c r="B850" s="7" t="s">
        <v>2155</v>
      </c>
    </row>
    <row r="851" spans="1:2">
      <c r="A851" s="6" t="s">
        <v>2156</v>
      </c>
      <c r="B851" s="7" t="s">
        <v>2157</v>
      </c>
    </row>
    <row r="852" spans="1:2">
      <c r="A852" s="6" t="s">
        <v>2158</v>
      </c>
      <c r="B852" s="7" t="s">
        <v>2159</v>
      </c>
    </row>
    <row r="853" spans="1:2">
      <c r="A853" s="6" t="s">
        <v>2160</v>
      </c>
      <c r="B853" s="7" t="s">
        <v>2143</v>
      </c>
    </row>
    <row r="854" spans="1:2" ht="26.4">
      <c r="A854" s="6" t="s">
        <v>2161</v>
      </c>
      <c r="B854" s="7" t="s">
        <v>2162</v>
      </c>
    </row>
    <row r="855" spans="1:2">
      <c r="A855" s="6" t="s">
        <v>2163</v>
      </c>
      <c r="B855" s="7" t="s">
        <v>2164</v>
      </c>
    </row>
    <row r="856" spans="1:2" ht="26.4">
      <c r="A856" s="6" t="s">
        <v>2165</v>
      </c>
      <c r="B856" s="7" t="s">
        <v>2166</v>
      </c>
    </row>
    <row r="857" spans="1:2">
      <c r="A857" s="6" t="s">
        <v>2167</v>
      </c>
      <c r="B857" s="7" t="s">
        <v>2168</v>
      </c>
    </row>
    <row r="858" spans="1:2">
      <c r="A858" s="6" t="s">
        <v>2169</v>
      </c>
      <c r="B858" s="7" t="s">
        <v>2170</v>
      </c>
    </row>
    <row r="859" spans="1:2">
      <c r="A859" s="6" t="s">
        <v>2171</v>
      </c>
      <c r="B859" s="7" t="s">
        <v>2172</v>
      </c>
    </row>
    <row r="860" spans="1:2" ht="26.4">
      <c r="A860" s="6" t="s">
        <v>2173</v>
      </c>
      <c r="B860" s="7" t="s">
        <v>2174</v>
      </c>
    </row>
    <row r="861" spans="1:2">
      <c r="A861" s="6" t="s">
        <v>2175</v>
      </c>
      <c r="B861" s="7" t="s">
        <v>2176</v>
      </c>
    </row>
    <row r="862" spans="1:2">
      <c r="A862" s="6" t="s">
        <v>2177</v>
      </c>
      <c r="B862" s="7" t="s">
        <v>2178</v>
      </c>
    </row>
    <row r="863" spans="1:2">
      <c r="A863" s="6" t="s">
        <v>2179</v>
      </c>
      <c r="B863" s="7" t="s">
        <v>2180</v>
      </c>
    </row>
    <row r="864" spans="1:2">
      <c r="A864" s="6" t="s">
        <v>2181</v>
      </c>
      <c r="B864" s="7" t="s">
        <v>2182</v>
      </c>
    </row>
    <row r="865" spans="1:2">
      <c r="A865" s="6" t="s">
        <v>2183</v>
      </c>
      <c r="B865" s="7" t="s">
        <v>2184</v>
      </c>
    </row>
    <row r="866" spans="1:2" ht="26.4">
      <c r="A866" s="6" t="s">
        <v>2185</v>
      </c>
      <c r="B866" s="7" t="s">
        <v>2186</v>
      </c>
    </row>
    <row r="867" spans="1:2" ht="26.4">
      <c r="A867" s="6" t="s">
        <v>2187</v>
      </c>
      <c r="B867" s="7" t="s">
        <v>2188</v>
      </c>
    </row>
    <row r="868" spans="1:2">
      <c r="A868" s="6" t="s">
        <v>2189</v>
      </c>
      <c r="B868" s="7" t="s">
        <v>2190</v>
      </c>
    </row>
    <row r="869" spans="1:2">
      <c r="A869" s="6" t="s">
        <v>2191</v>
      </c>
      <c r="B869" s="7" t="s">
        <v>2192</v>
      </c>
    </row>
    <row r="870" spans="1:2">
      <c r="A870" s="6" t="s">
        <v>2193</v>
      </c>
      <c r="B870" s="7" t="s">
        <v>2194</v>
      </c>
    </row>
    <row r="871" spans="1:2" ht="26.4">
      <c r="A871" s="6" t="s">
        <v>2195</v>
      </c>
      <c r="B871" s="7" t="s">
        <v>2196</v>
      </c>
    </row>
    <row r="872" spans="1:2">
      <c r="A872" s="6" t="s">
        <v>2197</v>
      </c>
      <c r="B872" s="7" t="s">
        <v>2198</v>
      </c>
    </row>
    <row r="873" spans="1:2">
      <c r="A873" s="6" t="s">
        <v>2199</v>
      </c>
      <c r="B873" s="7" t="s">
        <v>2200</v>
      </c>
    </row>
    <row r="874" spans="1:2">
      <c r="A874" s="6" t="s">
        <v>2201</v>
      </c>
      <c r="B874" s="7" t="s">
        <v>2202</v>
      </c>
    </row>
    <row r="875" spans="1:2">
      <c r="A875" s="6" t="s">
        <v>2203</v>
      </c>
      <c r="B875" s="7" t="s">
        <v>2204</v>
      </c>
    </row>
    <row r="876" spans="1:2">
      <c r="A876" s="6" t="s">
        <v>2205</v>
      </c>
      <c r="B876" s="7" t="s">
        <v>2206</v>
      </c>
    </row>
    <row r="877" spans="1:2">
      <c r="A877" s="6" t="s">
        <v>2207</v>
      </c>
      <c r="B877" s="7" t="s">
        <v>2208</v>
      </c>
    </row>
    <row r="878" spans="1:2">
      <c r="A878" s="6" t="s">
        <v>2209</v>
      </c>
      <c r="B878" s="7" t="s">
        <v>2210</v>
      </c>
    </row>
    <row r="879" spans="1:2">
      <c r="A879" s="6" t="s">
        <v>2211</v>
      </c>
      <c r="B879" s="7" t="s">
        <v>2212</v>
      </c>
    </row>
    <row r="880" spans="1:2" ht="26.4">
      <c r="A880" s="6" t="s">
        <v>2213</v>
      </c>
      <c r="B880" s="7" t="s">
        <v>2214</v>
      </c>
    </row>
    <row r="881" spans="1:2" ht="26.4">
      <c r="A881" s="6" t="s">
        <v>2215</v>
      </c>
      <c r="B881" s="7" t="s">
        <v>2216</v>
      </c>
    </row>
    <row r="882" spans="1:2">
      <c r="A882" s="6" t="s">
        <v>2217</v>
      </c>
      <c r="B882" s="7" t="s">
        <v>2218</v>
      </c>
    </row>
    <row r="883" spans="1:2">
      <c r="A883" s="6" t="s">
        <v>2219</v>
      </c>
      <c r="B883" s="7" t="s">
        <v>2220</v>
      </c>
    </row>
    <row r="884" spans="1:2" ht="26.4">
      <c r="A884" s="6" t="s">
        <v>2221</v>
      </c>
      <c r="B884" s="7" t="s">
        <v>2222</v>
      </c>
    </row>
    <row r="885" spans="1:2">
      <c r="A885" s="6" t="s">
        <v>2223</v>
      </c>
      <c r="B885" s="7" t="s">
        <v>2224</v>
      </c>
    </row>
    <row r="886" spans="1:2">
      <c r="A886" s="6" t="s">
        <v>2225</v>
      </c>
      <c r="B886" s="7" t="s">
        <v>2226</v>
      </c>
    </row>
    <row r="887" spans="1:2">
      <c r="A887" s="6" t="s">
        <v>2227</v>
      </c>
      <c r="B887" s="7" t="s">
        <v>2228</v>
      </c>
    </row>
    <row r="888" spans="1:2">
      <c r="A888" s="6" t="s">
        <v>2229</v>
      </c>
      <c r="B888" s="7" t="s">
        <v>2230</v>
      </c>
    </row>
    <row r="889" spans="1:2">
      <c r="A889" s="6" t="s">
        <v>2231</v>
      </c>
      <c r="B889" s="7" t="s">
        <v>2232</v>
      </c>
    </row>
    <row r="890" spans="1:2">
      <c r="A890" s="6" t="s">
        <v>2233</v>
      </c>
      <c r="B890" s="7" t="s">
        <v>2234</v>
      </c>
    </row>
    <row r="891" spans="1:2" ht="26.4">
      <c r="A891" s="6" t="s">
        <v>2235</v>
      </c>
      <c r="B891" s="7" t="s">
        <v>2236</v>
      </c>
    </row>
    <row r="892" spans="1:2">
      <c r="A892" s="6" t="s">
        <v>2237</v>
      </c>
      <c r="B892" s="7" t="s">
        <v>2238</v>
      </c>
    </row>
    <row r="893" spans="1:2" ht="26.4">
      <c r="A893" s="6" t="s">
        <v>2239</v>
      </c>
      <c r="B893" s="7" t="s">
        <v>2240</v>
      </c>
    </row>
    <row r="894" spans="1:2">
      <c r="A894" s="6" t="s">
        <v>2241</v>
      </c>
      <c r="B894" s="7" t="s">
        <v>2242</v>
      </c>
    </row>
    <row r="895" spans="1:2">
      <c r="A895" s="6" t="s">
        <v>2243</v>
      </c>
      <c r="B895" s="7" t="s">
        <v>2244</v>
      </c>
    </row>
    <row r="896" spans="1:2">
      <c r="A896" s="6" t="s">
        <v>2245</v>
      </c>
      <c r="B896" s="7" t="s">
        <v>2246</v>
      </c>
    </row>
    <row r="897" spans="1:2">
      <c r="A897" s="6" t="s">
        <v>2247</v>
      </c>
      <c r="B897" s="7" t="s">
        <v>2248</v>
      </c>
    </row>
    <row r="898" spans="1:2">
      <c r="A898" s="6" t="s">
        <v>2249</v>
      </c>
      <c r="B898" s="7" t="s">
        <v>2250</v>
      </c>
    </row>
    <row r="899" spans="1:2">
      <c r="A899" s="6" t="s">
        <v>2251</v>
      </c>
      <c r="B899" s="7" t="s">
        <v>2252</v>
      </c>
    </row>
    <row r="900" spans="1:2" ht="26.4">
      <c r="A900" s="6" t="s">
        <v>2253</v>
      </c>
      <c r="B900" s="7" t="s">
        <v>2254</v>
      </c>
    </row>
    <row r="901" spans="1:2">
      <c r="A901" s="6" t="s">
        <v>2255</v>
      </c>
      <c r="B901" s="7" t="s">
        <v>2256</v>
      </c>
    </row>
    <row r="902" spans="1:2">
      <c r="A902" s="6" t="s">
        <v>2257</v>
      </c>
      <c r="B902" s="7" t="s">
        <v>2258</v>
      </c>
    </row>
    <row r="903" spans="1:2" ht="26.4">
      <c r="A903" s="6" t="s">
        <v>2259</v>
      </c>
      <c r="B903" s="7" t="s">
        <v>2260</v>
      </c>
    </row>
    <row r="904" spans="1:2">
      <c r="A904" s="6" t="s">
        <v>2261</v>
      </c>
      <c r="B904" s="7" t="s">
        <v>2262</v>
      </c>
    </row>
    <row r="905" spans="1:2">
      <c r="A905" s="6" t="s">
        <v>2263</v>
      </c>
      <c r="B905" s="7" t="s">
        <v>2264</v>
      </c>
    </row>
    <row r="906" spans="1:2">
      <c r="A906" s="6" t="s">
        <v>2265</v>
      </c>
      <c r="B906" s="7" t="s">
        <v>2266</v>
      </c>
    </row>
    <row r="907" spans="1:2">
      <c r="A907" s="6" t="s">
        <v>2267</v>
      </c>
      <c r="B907" s="7" t="s">
        <v>2268</v>
      </c>
    </row>
    <row r="908" spans="1:2">
      <c r="A908" s="6" t="s">
        <v>2269</v>
      </c>
      <c r="B908" s="7" t="s">
        <v>2270</v>
      </c>
    </row>
    <row r="909" spans="1:2">
      <c r="A909" s="6" t="s">
        <v>2271</v>
      </c>
      <c r="B909" s="7" t="s">
        <v>2272</v>
      </c>
    </row>
    <row r="910" spans="1:2">
      <c r="A910" s="6" t="s">
        <v>2273</v>
      </c>
      <c r="B910" s="7" t="s">
        <v>2274</v>
      </c>
    </row>
    <row r="911" spans="1:2">
      <c r="A911" s="6" t="s">
        <v>2275</v>
      </c>
      <c r="B911" s="7" t="s">
        <v>2276</v>
      </c>
    </row>
    <row r="912" spans="1:2">
      <c r="A912" s="6" t="s">
        <v>2277</v>
      </c>
      <c r="B912" s="7" t="s">
        <v>2278</v>
      </c>
    </row>
    <row r="913" spans="1:2">
      <c r="A913" s="6" t="s">
        <v>2279</v>
      </c>
      <c r="B913" s="7" t="s">
        <v>2280</v>
      </c>
    </row>
    <row r="914" spans="1:2">
      <c r="A914" s="6" t="s">
        <v>2281</v>
      </c>
      <c r="B914" s="7" t="s">
        <v>2282</v>
      </c>
    </row>
    <row r="915" spans="1:2">
      <c r="A915" s="6" t="s">
        <v>2283</v>
      </c>
      <c r="B915" s="7" t="s">
        <v>2284</v>
      </c>
    </row>
    <row r="916" spans="1:2">
      <c r="A916" s="6" t="s">
        <v>2285</v>
      </c>
      <c r="B916" s="7" t="s">
        <v>2286</v>
      </c>
    </row>
    <row r="917" spans="1:2">
      <c r="A917" s="6" t="s">
        <v>2287</v>
      </c>
      <c r="B917" s="7" t="s">
        <v>2288</v>
      </c>
    </row>
    <row r="918" spans="1:2">
      <c r="A918" s="6" t="s">
        <v>2289</v>
      </c>
      <c r="B918" s="7" t="s">
        <v>2290</v>
      </c>
    </row>
    <row r="919" spans="1:2">
      <c r="A919" s="6" t="s">
        <v>2291</v>
      </c>
      <c r="B919" s="7" t="s">
        <v>2292</v>
      </c>
    </row>
    <row r="920" spans="1:2">
      <c r="A920" s="6" t="s">
        <v>2293</v>
      </c>
      <c r="B920" s="7" t="s">
        <v>2294</v>
      </c>
    </row>
    <row r="921" spans="1:2">
      <c r="A921" s="6" t="s">
        <v>2295</v>
      </c>
      <c r="B921" s="7" t="s">
        <v>2296</v>
      </c>
    </row>
    <row r="922" spans="1:2">
      <c r="A922" s="6" t="s">
        <v>2297</v>
      </c>
      <c r="B922" s="7" t="s">
        <v>2298</v>
      </c>
    </row>
    <row r="923" spans="1:2">
      <c r="A923" s="6" t="s">
        <v>2299</v>
      </c>
      <c r="B923" s="7" t="s">
        <v>2300</v>
      </c>
    </row>
    <row r="924" spans="1:2">
      <c r="A924" s="6" t="s">
        <v>2301</v>
      </c>
      <c r="B924" s="7" t="s">
        <v>2302</v>
      </c>
    </row>
    <row r="925" spans="1:2">
      <c r="A925" s="6" t="s">
        <v>2303</v>
      </c>
      <c r="B925" s="7" t="s">
        <v>2304</v>
      </c>
    </row>
    <row r="926" spans="1:2">
      <c r="A926" s="6" t="s">
        <v>2305</v>
      </c>
      <c r="B926" s="7" t="s">
        <v>2306</v>
      </c>
    </row>
    <row r="927" spans="1:2">
      <c r="A927" s="6" t="s">
        <v>2307</v>
      </c>
      <c r="B927" s="7" t="s">
        <v>2308</v>
      </c>
    </row>
    <row r="928" spans="1:2">
      <c r="A928" s="6" t="s">
        <v>2309</v>
      </c>
      <c r="B928" s="7" t="s">
        <v>2310</v>
      </c>
    </row>
    <row r="929" spans="1:2">
      <c r="A929" s="6" t="s">
        <v>2311</v>
      </c>
      <c r="B929" s="7" t="s">
        <v>2312</v>
      </c>
    </row>
    <row r="930" spans="1:2">
      <c r="A930" s="6" t="s">
        <v>2313</v>
      </c>
      <c r="B930" s="7" t="s">
        <v>2314</v>
      </c>
    </row>
    <row r="931" spans="1:2">
      <c r="A931" s="6" t="s">
        <v>2315</v>
      </c>
      <c r="B931" s="7" t="s">
        <v>2316</v>
      </c>
    </row>
    <row r="932" spans="1:2">
      <c r="A932" s="6" t="s">
        <v>2317</v>
      </c>
      <c r="B932" s="7" t="s">
        <v>2318</v>
      </c>
    </row>
    <row r="933" spans="1:2">
      <c r="A933" s="6" t="s">
        <v>2319</v>
      </c>
      <c r="B933" s="7" t="s">
        <v>2320</v>
      </c>
    </row>
    <row r="934" spans="1:2">
      <c r="A934" s="6" t="s">
        <v>2321</v>
      </c>
      <c r="B934" s="7" t="s">
        <v>2322</v>
      </c>
    </row>
    <row r="935" spans="1:2">
      <c r="A935" s="6" t="s">
        <v>2323</v>
      </c>
      <c r="B935" s="7" t="s">
        <v>2324</v>
      </c>
    </row>
    <row r="936" spans="1:2">
      <c r="A936" s="6" t="s">
        <v>2325</v>
      </c>
      <c r="B936" s="7" t="s">
        <v>2326</v>
      </c>
    </row>
    <row r="937" spans="1:2">
      <c r="A937" s="6" t="s">
        <v>2327</v>
      </c>
      <c r="B937" s="7" t="s">
        <v>2328</v>
      </c>
    </row>
    <row r="938" spans="1:2" ht="26.4">
      <c r="A938" s="6" t="s">
        <v>2329</v>
      </c>
      <c r="B938" s="7" t="s">
        <v>2330</v>
      </c>
    </row>
    <row r="939" spans="1:2">
      <c r="A939" s="6" t="s">
        <v>2331</v>
      </c>
      <c r="B939" s="7" t="s">
        <v>2332</v>
      </c>
    </row>
    <row r="940" spans="1:2">
      <c r="A940" s="6" t="s">
        <v>2333</v>
      </c>
      <c r="B940" s="7" t="s">
        <v>2334</v>
      </c>
    </row>
    <row r="941" spans="1:2">
      <c r="A941" s="6" t="s">
        <v>461</v>
      </c>
      <c r="B941" s="7" t="s">
        <v>462</v>
      </c>
    </row>
    <row r="942" spans="1:2">
      <c r="A942" s="8" t="s">
        <v>2335</v>
      </c>
      <c r="B942" s="9" t="s">
        <v>2336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370F4-C111-4337-88A1-A4699FBF78F8}">
  <sheetPr codeName="Feuil6">
    <tabColor rgb="FFFFFF00"/>
  </sheetPr>
  <dimension ref="A1:C235"/>
  <sheetViews>
    <sheetView zoomScaleNormal="100" workbookViewId="0">
      <pane ySplit="1" topLeftCell="A53" activePane="bottomLeft" state="frozen"/>
      <selection activeCell="A28" sqref="A28"/>
      <selection pane="bottomLeft" activeCell="A28" sqref="A28"/>
    </sheetView>
  </sheetViews>
  <sheetFormatPr baseColWidth="10" defaultColWidth="11.5546875" defaultRowHeight="13.2"/>
  <cols>
    <col min="1" max="1" width="52.44140625" style="3" customWidth="1"/>
    <col min="2" max="2" width="119.6640625" style="3" customWidth="1"/>
    <col min="3" max="16384" width="11.5546875" style="3"/>
  </cols>
  <sheetData>
    <row r="1" spans="1:3" ht="13.8" thickBot="1">
      <c r="A1" s="1" t="s">
        <v>0</v>
      </c>
      <c r="B1" s="2" t="s">
        <v>1</v>
      </c>
      <c r="C1" s="3" t="s">
        <v>2</v>
      </c>
    </row>
    <row r="2" spans="1:3">
      <c r="A2" s="4" t="s">
        <v>3</v>
      </c>
      <c r="B2" s="5" t="s">
        <v>4</v>
      </c>
      <c r="C2" s="3" t="b">
        <v>0</v>
      </c>
    </row>
    <row r="3" spans="1:3">
      <c r="A3" s="6" t="s">
        <v>5</v>
      </c>
      <c r="B3" s="7" t="s">
        <v>6</v>
      </c>
    </row>
    <row r="4" spans="1:3">
      <c r="A4" s="6" t="s">
        <v>7</v>
      </c>
      <c r="B4" s="7" t="s">
        <v>8</v>
      </c>
    </row>
    <row r="5" spans="1:3">
      <c r="A5" s="6" t="s">
        <v>9</v>
      </c>
      <c r="B5" s="7" t="s">
        <v>10</v>
      </c>
    </row>
    <row r="6" spans="1:3">
      <c r="A6" s="6" t="s">
        <v>11</v>
      </c>
      <c r="B6" s="7" t="s">
        <v>12</v>
      </c>
    </row>
    <row r="7" spans="1:3">
      <c r="A7" s="6" t="s">
        <v>13</v>
      </c>
      <c r="B7" s="7" t="s">
        <v>14</v>
      </c>
    </row>
    <row r="8" spans="1:3">
      <c r="A8" s="6" t="s">
        <v>15</v>
      </c>
      <c r="B8" s="7" t="s">
        <v>16</v>
      </c>
    </row>
    <row r="9" spans="1:3" ht="26.4">
      <c r="A9" s="6" t="s">
        <v>17</v>
      </c>
      <c r="B9" s="7" t="s">
        <v>18</v>
      </c>
    </row>
    <row r="10" spans="1:3">
      <c r="A10" s="6" t="s">
        <v>19</v>
      </c>
      <c r="B10" s="7" t="s">
        <v>20</v>
      </c>
    </row>
    <row r="11" spans="1:3">
      <c r="A11" s="6" t="s">
        <v>21</v>
      </c>
      <c r="B11" s="7" t="s">
        <v>22</v>
      </c>
    </row>
    <row r="12" spans="1:3">
      <c r="A12" s="6" t="s">
        <v>23</v>
      </c>
      <c r="B12" s="7" t="s">
        <v>24</v>
      </c>
    </row>
    <row r="13" spans="1:3">
      <c r="A13" s="6" t="s">
        <v>25</v>
      </c>
      <c r="B13" s="7" t="s">
        <v>26</v>
      </c>
    </row>
    <row r="14" spans="1:3">
      <c r="A14" s="6" t="s">
        <v>27</v>
      </c>
      <c r="B14" s="7" t="s">
        <v>28</v>
      </c>
    </row>
    <row r="15" spans="1:3">
      <c r="A15" s="6" t="s">
        <v>29</v>
      </c>
      <c r="B15" s="7" t="s">
        <v>30</v>
      </c>
    </row>
    <row r="16" spans="1:3">
      <c r="A16" s="6" t="s">
        <v>31</v>
      </c>
      <c r="B16" s="7" t="s">
        <v>32</v>
      </c>
    </row>
    <row r="17" spans="1:2" ht="26.4">
      <c r="A17" s="6" t="s">
        <v>33</v>
      </c>
      <c r="B17" s="7" t="s">
        <v>34</v>
      </c>
    </row>
    <row r="18" spans="1:2" ht="26.4">
      <c r="A18" s="6" t="s">
        <v>35</v>
      </c>
      <c r="B18" s="7" t="s">
        <v>36</v>
      </c>
    </row>
    <row r="19" spans="1:2">
      <c r="A19" s="6" t="s">
        <v>37</v>
      </c>
      <c r="B19" s="7" t="s">
        <v>38</v>
      </c>
    </row>
    <row r="20" spans="1:2" ht="26.4">
      <c r="A20" s="6" t="s">
        <v>39</v>
      </c>
      <c r="B20" s="7" t="s">
        <v>40</v>
      </c>
    </row>
    <row r="21" spans="1:2" ht="26.4">
      <c r="A21" s="6" t="s">
        <v>41</v>
      </c>
      <c r="B21" s="7" t="s">
        <v>42</v>
      </c>
    </row>
    <row r="22" spans="1:2" ht="26.4">
      <c r="A22" s="6" t="s">
        <v>43</v>
      </c>
      <c r="B22" s="7" t="s">
        <v>44</v>
      </c>
    </row>
    <row r="23" spans="1:2" ht="26.4">
      <c r="A23" s="6" t="s">
        <v>45</v>
      </c>
      <c r="B23" s="7" t="s">
        <v>46</v>
      </c>
    </row>
    <row r="24" spans="1:2" ht="26.4">
      <c r="A24" s="6" t="s">
        <v>47</v>
      </c>
      <c r="B24" s="7" t="s">
        <v>48</v>
      </c>
    </row>
    <row r="25" spans="1:2" ht="26.4">
      <c r="A25" s="6" t="s">
        <v>49</v>
      </c>
      <c r="B25" s="7" t="s">
        <v>50</v>
      </c>
    </row>
    <row r="26" spans="1:2">
      <c r="A26" s="6" t="s">
        <v>51</v>
      </c>
      <c r="B26" s="7" t="s">
        <v>52</v>
      </c>
    </row>
    <row r="27" spans="1:2">
      <c r="A27" s="6" t="s">
        <v>53</v>
      </c>
      <c r="B27" s="7" t="s">
        <v>54</v>
      </c>
    </row>
    <row r="28" spans="1:2" ht="26.4">
      <c r="A28" s="6" t="s">
        <v>55</v>
      </c>
      <c r="B28" s="7" t="s">
        <v>56</v>
      </c>
    </row>
    <row r="29" spans="1:2" ht="26.4">
      <c r="A29" s="6" t="s">
        <v>57</v>
      </c>
      <c r="B29" s="7" t="s">
        <v>58</v>
      </c>
    </row>
    <row r="30" spans="1:2" ht="26.4">
      <c r="A30" s="6" t="s">
        <v>59</v>
      </c>
      <c r="B30" s="7" t="s">
        <v>60</v>
      </c>
    </row>
    <row r="31" spans="1:2">
      <c r="A31" s="6" t="s">
        <v>61</v>
      </c>
      <c r="B31" s="7" t="s">
        <v>62</v>
      </c>
    </row>
    <row r="32" spans="1:2" ht="26.4">
      <c r="A32" s="6" t="s">
        <v>63</v>
      </c>
      <c r="B32" s="7" t="s">
        <v>64</v>
      </c>
    </row>
    <row r="33" spans="1:2">
      <c r="A33" s="6" t="s">
        <v>65</v>
      </c>
      <c r="B33" s="7" t="s">
        <v>66</v>
      </c>
    </row>
    <row r="34" spans="1:2">
      <c r="A34" s="6" t="s">
        <v>67</v>
      </c>
      <c r="B34" s="7" t="s">
        <v>68</v>
      </c>
    </row>
    <row r="35" spans="1:2">
      <c r="A35" s="6" t="s">
        <v>69</v>
      </c>
      <c r="B35" s="7" t="s">
        <v>70</v>
      </c>
    </row>
    <row r="36" spans="1:2">
      <c r="A36" s="6" t="s">
        <v>71</v>
      </c>
      <c r="B36" s="7" t="s">
        <v>72</v>
      </c>
    </row>
    <row r="37" spans="1:2">
      <c r="A37" s="6" t="s">
        <v>73</v>
      </c>
      <c r="B37" s="7" t="s">
        <v>74</v>
      </c>
    </row>
    <row r="38" spans="1:2">
      <c r="A38" s="6" t="s">
        <v>75</v>
      </c>
      <c r="B38" s="7" t="s">
        <v>76</v>
      </c>
    </row>
    <row r="39" spans="1:2">
      <c r="A39" s="6" t="s">
        <v>77</v>
      </c>
      <c r="B39" s="7" t="s">
        <v>78</v>
      </c>
    </row>
    <row r="40" spans="1:2">
      <c r="A40" s="6" t="s">
        <v>79</v>
      </c>
      <c r="B40" s="7" t="s">
        <v>80</v>
      </c>
    </row>
    <row r="41" spans="1:2">
      <c r="A41" s="6" t="s">
        <v>81</v>
      </c>
      <c r="B41" s="7" t="s">
        <v>82</v>
      </c>
    </row>
    <row r="42" spans="1:2">
      <c r="A42" s="6" t="s">
        <v>83</v>
      </c>
      <c r="B42" s="7" t="s">
        <v>84</v>
      </c>
    </row>
    <row r="43" spans="1:2">
      <c r="A43" s="6" t="s">
        <v>85</v>
      </c>
      <c r="B43" s="7" t="s">
        <v>86</v>
      </c>
    </row>
    <row r="44" spans="1:2">
      <c r="A44" s="6" t="s">
        <v>87</v>
      </c>
      <c r="B44" s="7" t="s">
        <v>88</v>
      </c>
    </row>
    <row r="45" spans="1:2">
      <c r="A45" s="6" t="s">
        <v>89</v>
      </c>
      <c r="B45" s="7" t="s">
        <v>90</v>
      </c>
    </row>
    <row r="46" spans="1:2">
      <c r="A46" s="6" t="s">
        <v>91</v>
      </c>
      <c r="B46" s="7" t="s">
        <v>92</v>
      </c>
    </row>
    <row r="47" spans="1:2">
      <c r="A47" s="6" t="s">
        <v>93</v>
      </c>
      <c r="B47" s="7" t="s">
        <v>94</v>
      </c>
    </row>
    <row r="48" spans="1:2">
      <c r="A48" s="6" t="s">
        <v>95</v>
      </c>
      <c r="B48" s="7" t="s">
        <v>96</v>
      </c>
    </row>
    <row r="49" spans="1:2">
      <c r="A49" s="6" t="s">
        <v>97</v>
      </c>
      <c r="B49" s="7" t="s">
        <v>98</v>
      </c>
    </row>
    <row r="50" spans="1:2">
      <c r="A50" s="6" t="s">
        <v>99</v>
      </c>
      <c r="B50" s="7" t="s">
        <v>100</v>
      </c>
    </row>
    <row r="51" spans="1:2">
      <c r="A51" s="6" t="s">
        <v>101</v>
      </c>
      <c r="B51" s="7" t="s">
        <v>102</v>
      </c>
    </row>
    <row r="52" spans="1:2">
      <c r="A52" s="6" t="s">
        <v>103</v>
      </c>
      <c r="B52" s="7" t="s">
        <v>104</v>
      </c>
    </row>
    <row r="53" spans="1:2">
      <c r="A53" s="6" t="s">
        <v>105</v>
      </c>
      <c r="B53" s="7" t="s">
        <v>106</v>
      </c>
    </row>
    <row r="54" spans="1:2">
      <c r="A54" s="6" t="s">
        <v>107</v>
      </c>
      <c r="B54" s="7" t="s">
        <v>108</v>
      </c>
    </row>
    <row r="55" spans="1:2">
      <c r="A55" s="6" t="s">
        <v>109</v>
      </c>
      <c r="B55" s="7" t="s">
        <v>110</v>
      </c>
    </row>
    <row r="56" spans="1:2">
      <c r="A56" s="6" t="s">
        <v>111</v>
      </c>
      <c r="B56" s="7" t="s">
        <v>112</v>
      </c>
    </row>
    <row r="57" spans="1:2">
      <c r="A57" s="6" t="s">
        <v>113</v>
      </c>
      <c r="B57" s="7" t="s">
        <v>114</v>
      </c>
    </row>
    <row r="58" spans="1:2">
      <c r="A58" s="6" t="s">
        <v>115</v>
      </c>
      <c r="B58" s="7" t="s">
        <v>116</v>
      </c>
    </row>
    <row r="59" spans="1:2">
      <c r="A59" s="6" t="s">
        <v>117</v>
      </c>
      <c r="B59" s="7" t="s">
        <v>118</v>
      </c>
    </row>
    <row r="60" spans="1:2">
      <c r="A60" s="6" t="s">
        <v>119</v>
      </c>
      <c r="B60" s="7" t="s">
        <v>120</v>
      </c>
    </row>
    <row r="61" spans="1:2">
      <c r="A61" s="6" t="s">
        <v>121</v>
      </c>
      <c r="B61" s="7" t="s">
        <v>122</v>
      </c>
    </row>
    <row r="62" spans="1:2">
      <c r="A62" s="6" t="s">
        <v>123</v>
      </c>
      <c r="B62" s="7" t="s">
        <v>124</v>
      </c>
    </row>
    <row r="63" spans="1:2">
      <c r="A63" s="6" t="s">
        <v>125</v>
      </c>
      <c r="B63" s="7" t="s">
        <v>126</v>
      </c>
    </row>
    <row r="64" spans="1:2">
      <c r="A64" s="6" t="s">
        <v>127</v>
      </c>
      <c r="B64" s="7" t="s">
        <v>128</v>
      </c>
    </row>
    <row r="65" spans="1:2">
      <c r="A65" s="6" t="s">
        <v>129</v>
      </c>
      <c r="B65" s="7" t="s">
        <v>130</v>
      </c>
    </row>
    <row r="66" spans="1:2">
      <c r="A66" s="6" t="s">
        <v>131</v>
      </c>
      <c r="B66" s="7" t="s">
        <v>132</v>
      </c>
    </row>
    <row r="67" spans="1:2">
      <c r="A67" s="6" t="s">
        <v>133</v>
      </c>
      <c r="B67" s="7" t="s">
        <v>134</v>
      </c>
    </row>
    <row r="68" spans="1:2">
      <c r="A68" s="6" t="s">
        <v>135</v>
      </c>
      <c r="B68" s="7" t="s">
        <v>136</v>
      </c>
    </row>
    <row r="69" spans="1:2">
      <c r="A69" s="6" t="s">
        <v>137</v>
      </c>
      <c r="B69" s="7" t="s">
        <v>138</v>
      </c>
    </row>
    <row r="70" spans="1:2">
      <c r="A70" s="6" t="s">
        <v>139</v>
      </c>
      <c r="B70" s="7" t="s">
        <v>140</v>
      </c>
    </row>
    <row r="71" spans="1:2">
      <c r="A71" s="6" t="s">
        <v>141</v>
      </c>
      <c r="B71" s="7" t="s">
        <v>142</v>
      </c>
    </row>
    <row r="72" spans="1:2">
      <c r="A72" s="6" t="s">
        <v>143</v>
      </c>
      <c r="B72" s="7" t="s">
        <v>144</v>
      </c>
    </row>
    <row r="73" spans="1:2">
      <c r="A73" s="6" t="s">
        <v>145</v>
      </c>
      <c r="B73" s="7" t="s">
        <v>146</v>
      </c>
    </row>
    <row r="74" spans="1:2">
      <c r="A74" s="6" t="s">
        <v>147</v>
      </c>
      <c r="B74" s="7" t="s">
        <v>148</v>
      </c>
    </row>
    <row r="75" spans="1:2">
      <c r="A75" s="6" t="s">
        <v>149</v>
      </c>
      <c r="B75" s="7" t="s">
        <v>150</v>
      </c>
    </row>
    <row r="76" spans="1:2">
      <c r="A76" s="6" t="s">
        <v>151</v>
      </c>
      <c r="B76" s="7" t="s">
        <v>152</v>
      </c>
    </row>
    <row r="77" spans="1:2">
      <c r="A77" s="6" t="s">
        <v>153</v>
      </c>
      <c r="B77" s="7" t="s">
        <v>154</v>
      </c>
    </row>
    <row r="78" spans="1:2">
      <c r="A78" s="6" t="s">
        <v>155</v>
      </c>
      <c r="B78" s="7" t="s">
        <v>156</v>
      </c>
    </row>
    <row r="79" spans="1:2">
      <c r="A79" s="6" t="s">
        <v>157</v>
      </c>
      <c r="B79" s="7" t="s">
        <v>158</v>
      </c>
    </row>
    <row r="80" spans="1:2">
      <c r="A80" s="6" t="s">
        <v>159</v>
      </c>
      <c r="B80" s="7" t="s">
        <v>160</v>
      </c>
    </row>
    <row r="81" spans="1:2">
      <c r="A81" s="6" t="s">
        <v>161</v>
      </c>
      <c r="B81" s="7" t="s">
        <v>162</v>
      </c>
    </row>
    <row r="82" spans="1:2">
      <c r="A82" s="6" t="s">
        <v>163</v>
      </c>
      <c r="B82" s="7" t="s">
        <v>164</v>
      </c>
    </row>
    <row r="83" spans="1:2">
      <c r="A83" s="6" t="s">
        <v>165</v>
      </c>
      <c r="B83" s="7" t="s">
        <v>166</v>
      </c>
    </row>
    <row r="84" spans="1:2">
      <c r="A84" s="6" t="s">
        <v>167</v>
      </c>
      <c r="B84" s="7" t="s">
        <v>168</v>
      </c>
    </row>
    <row r="85" spans="1:2">
      <c r="A85" s="6" t="s">
        <v>169</v>
      </c>
      <c r="B85" s="7" t="s">
        <v>170</v>
      </c>
    </row>
    <row r="86" spans="1:2">
      <c r="A86" s="6" t="s">
        <v>171</v>
      </c>
      <c r="B86" s="7" t="s">
        <v>172</v>
      </c>
    </row>
    <row r="87" spans="1:2">
      <c r="A87" s="6" t="s">
        <v>173</v>
      </c>
      <c r="B87" s="7" t="s">
        <v>174</v>
      </c>
    </row>
    <row r="88" spans="1:2">
      <c r="A88" s="6" t="s">
        <v>175</v>
      </c>
      <c r="B88" s="7" t="s">
        <v>176</v>
      </c>
    </row>
    <row r="89" spans="1:2">
      <c r="A89" s="6" t="s">
        <v>177</v>
      </c>
      <c r="B89" s="7" t="s">
        <v>178</v>
      </c>
    </row>
    <row r="90" spans="1:2">
      <c r="A90" s="6" t="s">
        <v>179</v>
      </c>
      <c r="B90" s="7" t="s">
        <v>180</v>
      </c>
    </row>
    <row r="91" spans="1:2">
      <c r="A91" s="6" t="s">
        <v>181</v>
      </c>
      <c r="B91" s="7" t="s">
        <v>182</v>
      </c>
    </row>
    <row r="92" spans="1:2">
      <c r="A92" s="6" t="s">
        <v>183</v>
      </c>
      <c r="B92" s="7" t="s">
        <v>184</v>
      </c>
    </row>
    <row r="93" spans="1:2">
      <c r="A93" s="6" t="s">
        <v>185</v>
      </c>
      <c r="B93" s="7" t="s">
        <v>186</v>
      </c>
    </row>
    <row r="94" spans="1:2">
      <c r="A94" s="6" t="s">
        <v>187</v>
      </c>
      <c r="B94" s="7" t="s">
        <v>188</v>
      </c>
    </row>
    <row r="95" spans="1:2">
      <c r="A95" s="6" t="s">
        <v>189</v>
      </c>
      <c r="B95" s="7" t="s">
        <v>190</v>
      </c>
    </row>
    <row r="96" spans="1:2">
      <c r="A96" s="6" t="s">
        <v>191</v>
      </c>
      <c r="B96" s="7" t="s">
        <v>192</v>
      </c>
    </row>
    <row r="97" spans="1:2">
      <c r="A97" s="6" t="s">
        <v>193</v>
      </c>
      <c r="B97" s="7" t="s">
        <v>194</v>
      </c>
    </row>
    <row r="98" spans="1:2">
      <c r="A98" s="6" t="s">
        <v>195</v>
      </c>
      <c r="B98" s="7" t="s">
        <v>196</v>
      </c>
    </row>
    <row r="99" spans="1:2">
      <c r="A99" s="6" t="s">
        <v>197</v>
      </c>
      <c r="B99" s="7" t="s">
        <v>198</v>
      </c>
    </row>
    <row r="100" spans="1:2">
      <c r="A100" s="6" t="s">
        <v>199</v>
      </c>
      <c r="B100" s="7" t="s">
        <v>200</v>
      </c>
    </row>
    <row r="101" spans="1:2">
      <c r="A101" s="6" t="s">
        <v>201</v>
      </c>
      <c r="B101" s="7" t="s">
        <v>202</v>
      </c>
    </row>
    <row r="102" spans="1:2">
      <c r="A102" s="6" t="s">
        <v>203</v>
      </c>
      <c r="B102" s="7" t="s">
        <v>204</v>
      </c>
    </row>
    <row r="103" spans="1:2">
      <c r="A103" s="6" t="s">
        <v>205</v>
      </c>
      <c r="B103" s="7" t="s">
        <v>206</v>
      </c>
    </row>
    <row r="104" spans="1:2">
      <c r="A104" s="6" t="s">
        <v>207</v>
      </c>
      <c r="B104" s="7" t="s">
        <v>208</v>
      </c>
    </row>
    <row r="105" spans="1:2">
      <c r="A105" s="6" t="s">
        <v>209</v>
      </c>
      <c r="B105" s="7" t="s">
        <v>210</v>
      </c>
    </row>
    <row r="106" spans="1:2">
      <c r="A106" s="6" t="s">
        <v>211</v>
      </c>
      <c r="B106" s="7" t="s">
        <v>212</v>
      </c>
    </row>
    <row r="107" spans="1:2">
      <c r="A107" s="6" t="s">
        <v>213</v>
      </c>
      <c r="B107" s="7" t="s">
        <v>214</v>
      </c>
    </row>
    <row r="108" spans="1:2">
      <c r="A108" s="6" t="s">
        <v>215</v>
      </c>
      <c r="B108" s="7" t="s">
        <v>216</v>
      </c>
    </row>
    <row r="109" spans="1:2">
      <c r="A109" s="6" t="s">
        <v>217</v>
      </c>
      <c r="B109" s="7" t="s">
        <v>218</v>
      </c>
    </row>
    <row r="110" spans="1:2">
      <c r="A110" s="6" t="s">
        <v>219</v>
      </c>
      <c r="B110" s="7" t="s">
        <v>220</v>
      </c>
    </row>
    <row r="111" spans="1:2">
      <c r="A111" s="6" t="s">
        <v>221</v>
      </c>
      <c r="B111" s="7" t="s">
        <v>222</v>
      </c>
    </row>
    <row r="112" spans="1:2">
      <c r="A112" s="6" t="s">
        <v>223</v>
      </c>
      <c r="B112" s="7" t="s">
        <v>224</v>
      </c>
    </row>
    <row r="113" spans="1:2">
      <c r="A113" s="6" t="s">
        <v>225</v>
      </c>
      <c r="B113" s="7" t="s">
        <v>226</v>
      </c>
    </row>
    <row r="114" spans="1:2">
      <c r="A114" s="6" t="s">
        <v>227</v>
      </c>
      <c r="B114" s="7" t="s">
        <v>228</v>
      </c>
    </row>
    <row r="115" spans="1:2">
      <c r="A115" s="6" t="s">
        <v>229</v>
      </c>
      <c r="B115" s="7" t="s">
        <v>230</v>
      </c>
    </row>
    <row r="116" spans="1:2">
      <c r="A116" s="6" t="s">
        <v>231</v>
      </c>
      <c r="B116" s="7" t="s">
        <v>232</v>
      </c>
    </row>
    <row r="117" spans="1:2">
      <c r="A117" s="6" t="s">
        <v>233</v>
      </c>
      <c r="B117" s="7" t="s">
        <v>234</v>
      </c>
    </row>
    <row r="118" spans="1:2">
      <c r="A118" s="6" t="s">
        <v>235</v>
      </c>
      <c r="B118" s="7" t="s">
        <v>236</v>
      </c>
    </row>
    <row r="119" spans="1:2" ht="26.4">
      <c r="A119" s="6" t="s">
        <v>237</v>
      </c>
      <c r="B119" s="7" t="s">
        <v>238</v>
      </c>
    </row>
    <row r="120" spans="1:2">
      <c r="A120" s="6" t="s">
        <v>239</v>
      </c>
      <c r="B120" s="7" t="s">
        <v>240</v>
      </c>
    </row>
    <row r="121" spans="1:2">
      <c r="A121" s="6" t="s">
        <v>241</v>
      </c>
      <c r="B121" s="7" t="s">
        <v>242</v>
      </c>
    </row>
    <row r="122" spans="1:2">
      <c r="A122" s="6" t="s">
        <v>243</v>
      </c>
      <c r="B122" s="7" t="s">
        <v>244</v>
      </c>
    </row>
    <row r="123" spans="1:2">
      <c r="A123" s="6" t="s">
        <v>245</v>
      </c>
      <c r="B123" s="7" t="s">
        <v>246</v>
      </c>
    </row>
    <row r="124" spans="1:2">
      <c r="A124" s="6" t="s">
        <v>247</v>
      </c>
      <c r="B124" s="7" t="s">
        <v>248</v>
      </c>
    </row>
    <row r="125" spans="1:2">
      <c r="A125" s="6" t="s">
        <v>249</v>
      </c>
      <c r="B125" s="7" t="s">
        <v>250</v>
      </c>
    </row>
    <row r="126" spans="1:2">
      <c r="A126" s="6" t="s">
        <v>251</v>
      </c>
      <c r="B126" s="7" t="s">
        <v>252</v>
      </c>
    </row>
    <row r="127" spans="1:2">
      <c r="A127" s="6" t="s">
        <v>253</v>
      </c>
      <c r="B127" s="7" t="s">
        <v>254</v>
      </c>
    </row>
    <row r="128" spans="1:2">
      <c r="A128" s="6" t="s">
        <v>255</v>
      </c>
      <c r="B128" s="7" t="s">
        <v>256</v>
      </c>
    </row>
    <row r="129" spans="1:2">
      <c r="A129" s="6" t="s">
        <v>257</v>
      </c>
      <c r="B129" s="7" t="s">
        <v>258</v>
      </c>
    </row>
    <row r="130" spans="1:2">
      <c r="A130" s="6" t="s">
        <v>259</v>
      </c>
      <c r="B130" s="7" t="s">
        <v>260</v>
      </c>
    </row>
    <row r="131" spans="1:2" ht="26.4">
      <c r="A131" s="6" t="s">
        <v>261</v>
      </c>
      <c r="B131" s="7" t="s">
        <v>262</v>
      </c>
    </row>
    <row r="132" spans="1:2">
      <c r="A132" s="6" t="s">
        <v>263</v>
      </c>
      <c r="B132" s="7" t="s">
        <v>264</v>
      </c>
    </row>
    <row r="133" spans="1:2">
      <c r="A133" s="6" t="s">
        <v>265</v>
      </c>
      <c r="B133" s="7" t="s">
        <v>266</v>
      </c>
    </row>
    <row r="134" spans="1:2">
      <c r="A134" s="6" t="s">
        <v>267</v>
      </c>
      <c r="B134" s="7" t="s">
        <v>268</v>
      </c>
    </row>
    <row r="135" spans="1:2">
      <c r="A135" s="6" t="s">
        <v>269</v>
      </c>
      <c r="B135" s="7" t="s">
        <v>270</v>
      </c>
    </row>
    <row r="136" spans="1:2">
      <c r="A136" s="6" t="s">
        <v>271</v>
      </c>
      <c r="B136" s="7" t="s">
        <v>272</v>
      </c>
    </row>
    <row r="137" spans="1:2">
      <c r="A137" s="6" t="s">
        <v>273</v>
      </c>
      <c r="B137" s="7" t="s">
        <v>274</v>
      </c>
    </row>
    <row r="138" spans="1:2">
      <c r="A138" s="6" t="s">
        <v>275</v>
      </c>
      <c r="B138" s="7" t="s">
        <v>276</v>
      </c>
    </row>
    <row r="139" spans="1:2" ht="26.4">
      <c r="A139" s="6" t="s">
        <v>277</v>
      </c>
      <c r="B139" s="7" t="s">
        <v>278</v>
      </c>
    </row>
    <row r="140" spans="1:2">
      <c r="A140" s="6" t="s">
        <v>279</v>
      </c>
      <c r="B140" s="7" t="s">
        <v>280</v>
      </c>
    </row>
    <row r="141" spans="1:2">
      <c r="A141" s="6" t="s">
        <v>281</v>
      </c>
      <c r="B141" s="7" t="s">
        <v>282</v>
      </c>
    </row>
    <row r="142" spans="1:2">
      <c r="A142" s="6" t="s">
        <v>283</v>
      </c>
      <c r="B142" s="7" t="s">
        <v>284</v>
      </c>
    </row>
    <row r="143" spans="1:2">
      <c r="A143" s="6" t="s">
        <v>285</v>
      </c>
      <c r="B143" s="7" t="s">
        <v>286</v>
      </c>
    </row>
    <row r="144" spans="1:2">
      <c r="A144" s="6" t="s">
        <v>287</v>
      </c>
      <c r="B144" s="7" t="s">
        <v>288</v>
      </c>
    </row>
    <row r="145" spans="1:2">
      <c r="A145" s="6" t="s">
        <v>289</v>
      </c>
      <c r="B145" s="7" t="s">
        <v>290</v>
      </c>
    </row>
    <row r="146" spans="1:2" ht="26.4">
      <c r="A146" s="6" t="s">
        <v>291</v>
      </c>
      <c r="B146" s="7" t="s">
        <v>292</v>
      </c>
    </row>
    <row r="147" spans="1:2">
      <c r="A147" s="6" t="s">
        <v>293</v>
      </c>
      <c r="B147" s="7" t="s">
        <v>14</v>
      </c>
    </row>
    <row r="148" spans="1:2">
      <c r="A148" s="6" t="s">
        <v>294</v>
      </c>
      <c r="B148" s="7" t="s">
        <v>295</v>
      </c>
    </row>
    <row r="149" spans="1:2">
      <c r="A149" s="6" t="s">
        <v>296</v>
      </c>
      <c r="B149" s="7" t="s">
        <v>297</v>
      </c>
    </row>
    <row r="150" spans="1:2">
      <c r="A150" s="6" t="s">
        <v>298</v>
      </c>
      <c r="B150" s="7" t="s">
        <v>299</v>
      </c>
    </row>
    <row r="151" spans="1:2">
      <c r="A151" s="6" t="s">
        <v>300</v>
      </c>
      <c r="B151" s="7" t="s">
        <v>301</v>
      </c>
    </row>
    <row r="152" spans="1:2">
      <c r="A152" s="6" t="s">
        <v>302</v>
      </c>
      <c r="B152" s="7" t="s">
        <v>303</v>
      </c>
    </row>
    <row r="153" spans="1:2">
      <c r="A153" s="6" t="s">
        <v>304</v>
      </c>
      <c r="B153" s="7" t="s">
        <v>305</v>
      </c>
    </row>
    <row r="154" spans="1:2">
      <c r="A154" s="6" t="s">
        <v>306</v>
      </c>
      <c r="B154" s="7" t="s">
        <v>307</v>
      </c>
    </row>
    <row r="155" spans="1:2">
      <c r="A155" s="6" t="s">
        <v>308</v>
      </c>
      <c r="B155" s="7" t="s">
        <v>309</v>
      </c>
    </row>
    <row r="156" spans="1:2">
      <c r="A156" s="6" t="s">
        <v>310</v>
      </c>
      <c r="B156" s="7" t="s">
        <v>311</v>
      </c>
    </row>
    <row r="157" spans="1:2">
      <c r="A157" s="6" t="s">
        <v>312</v>
      </c>
      <c r="B157" s="7" t="s">
        <v>313</v>
      </c>
    </row>
    <row r="158" spans="1:2">
      <c r="A158" s="6" t="s">
        <v>314</v>
      </c>
      <c r="B158" s="7" t="s">
        <v>315</v>
      </c>
    </row>
    <row r="159" spans="1:2">
      <c r="A159" s="6" t="s">
        <v>316</v>
      </c>
      <c r="B159" s="7" t="s">
        <v>317</v>
      </c>
    </row>
    <row r="160" spans="1:2">
      <c r="A160" s="6" t="s">
        <v>318</v>
      </c>
      <c r="B160" s="7" t="s">
        <v>319</v>
      </c>
    </row>
    <row r="161" spans="1:2">
      <c r="A161" s="6" t="s">
        <v>320</v>
      </c>
      <c r="B161" s="7" t="s">
        <v>321</v>
      </c>
    </row>
    <row r="162" spans="1:2">
      <c r="A162" s="6" t="s">
        <v>322</v>
      </c>
      <c r="B162" s="7" t="s">
        <v>323</v>
      </c>
    </row>
    <row r="163" spans="1:2">
      <c r="A163" s="6" t="s">
        <v>324</v>
      </c>
      <c r="B163" s="7" t="s">
        <v>325</v>
      </c>
    </row>
    <row r="164" spans="1:2">
      <c r="A164" s="6" t="s">
        <v>326</v>
      </c>
      <c r="B164" s="7" t="s">
        <v>327</v>
      </c>
    </row>
    <row r="165" spans="1:2">
      <c r="A165" s="6" t="s">
        <v>328</v>
      </c>
      <c r="B165" s="7" t="s">
        <v>329</v>
      </c>
    </row>
    <row r="166" spans="1:2">
      <c r="A166" s="6" t="s">
        <v>330</v>
      </c>
      <c r="B166" s="7" t="s">
        <v>331</v>
      </c>
    </row>
    <row r="167" spans="1:2" ht="26.4">
      <c r="A167" s="6" t="s">
        <v>332</v>
      </c>
      <c r="B167" s="7" t="s">
        <v>333</v>
      </c>
    </row>
    <row r="168" spans="1:2">
      <c r="A168" s="6" t="s">
        <v>334</v>
      </c>
      <c r="B168" s="7" t="s">
        <v>335</v>
      </c>
    </row>
    <row r="169" spans="1:2">
      <c r="A169" s="6" t="s">
        <v>336</v>
      </c>
      <c r="B169" s="7" t="s">
        <v>337</v>
      </c>
    </row>
    <row r="170" spans="1:2">
      <c r="A170" s="6" t="s">
        <v>338</v>
      </c>
      <c r="B170" s="7" t="s">
        <v>339</v>
      </c>
    </row>
    <row r="171" spans="1:2">
      <c r="A171" s="6" t="s">
        <v>340</v>
      </c>
      <c r="B171" s="7" t="s">
        <v>341</v>
      </c>
    </row>
    <row r="172" spans="1:2">
      <c r="A172" s="6" t="s">
        <v>342</v>
      </c>
      <c r="B172" s="7" t="s">
        <v>343</v>
      </c>
    </row>
    <row r="173" spans="1:2" ht="26.4">
      <c r="A173" s="6" t="s">
        <v>344</v>
      </c>
      <c r="B173" s="7" t="s">
        <v>345</v>
      </c>
    </row>
    <row r="174" spans="1:2" ht="26.4">
      <c r="A174" s="6" t="s">
        <v>346</v>
      </c>
      <c r="B174" s="7" t="s">
        <v>347</v>
      </c>
    </row>
    <row r="175" spans="1:2" ht="26.4">
      <c r="A175" s="6" t="s">
        <v>348</v>
      </c>
      <c r="B175" s="7" t="s">
        <v>349</v>
      </c>
    </row>
    <row r="176" spans="1:2">
      <c r="A176" s="6" t="s">
        <v>350</v>
      </c>
      <c r="B176" s="7" t="s">
        <v>351</v>
      </c>
    </row>
    <row r="177" spans="1:2" ht="26.4">
      <c r="A177" s="6" t="s">
        <v>352</v>
      </c>
      <c r="B177" s="7" t="s">
        <v>353</v>
      </c>
    </row>
    <row r="178" spans="1:2" ht="26.4">
      <c r="A178" s="6" t="s">
        <v>354</v>
      </c>
      <c r="B178" s="7" t="s">
        <v>355</v>
      </c>
    </row>
    <row r="179" spans="1:2" ht="26.4">
      <c r="A179" s="6" t="s">
        <v>356</v>
      </c>
      <c r="B179" s="7" t="s">
        <v>357</v>
      </c>
    </row>
    <row r="180" spans="1:2">
      <c r="A180" s="6" t="s">
        <v>358</v>
      </c>
      <c r="B180" s="7" t="s">
        <v>359</v>
      </c>
    </row>
    <row r="181" spans="1:2">
      <c r="A181" s="6" t="s">
        <v>360</v>
      </c>
      <c r="B181" s="7" t="s">
        <v>290</v>
      </c>
    </row>
    <row r="182" spans="1:2" ht="26.4">
      <c r="A182" s="6" t="s">
        <v>361</v>
      </c>
      <c r="B182" s="7" t="s">
        <v>362</v>
      </c>
    </row>
    <row r="183" spans="1:2" ht="26.4">
      <c r="A183" s="6" t="s">
        <v>363</v>
      </c>
      <c r="B183" s="7" t="s">
        <v>364</v>
      </c>
    </row>
    <row r="184" spans="1:2" ht="26.4">
      <c r="A184" s="6" t="s">
        <v>365</v>
      </c>
      <c r="B184" s="7" t="s">
        <v>366</v>
      </c>
    </row>
    <row r="185" spans="1:2">
      <c r="A185" s="6" t="s">
        <v>367</v>
      </c>
      <c r="B185" s="7" t="s">
        <v>368</v>
      </c>
    </row>
    <row r="186" spans="1:2">
      <c r="A186" s="6" t="s">
        <v>369</v>
      </c>
      <c r="B186" s="7" t="s">
        <v>370</v>
      </c>
    </row>
    <row r="187" spans="1:2" ht="26.4">
      <c r="A187" s="6" t="s">
        <v>371</v>
      </c>
      <c r="B187" s="7" t="s">
        <v>372</v>
      </c>
    </row>
    <row r="188" spans="1:2" ht="26.4">
      <c r="A188" s="6" t="s">
        <v>373</v>
      </c>
      <c r="B188" s="7" t="s">
        <v>374</v>
      </c>
    </row>
    <row r="189" spans="1:2">
      <c r="A189" s="6" t="s">
        <v>375</v>
      </c>
      <c r="B189" s="7" t="s">
        <v>376</v>
      </c>
    </row>
    <row r="190" spans="1:2">
      <c r="A190" s="6" t="s">
        <v>377</v>
      </c>
      <c r="B190" s="7" t="s">
        <v>378</v>
      </c>
    </row>
    <row r="191" spans="1:2">
      <c r="A191" s="6" t="s">
        <v>379</v>
      </c>
      <c r="B191" s="7" t="s">
        <v>380</v>
      </c>
    </row>
    <row r="192" spans="1:2">
      <c r="A192" s="6" t="s">
        <v>381</v>
      </c>
      <c r="B192" s="7" t="s">
        <v>382</v>
      </c>
    </row>
    <row r="193" spans="1:2">
      <c r="A193" s="6" t="s">
        <v>383</v>
      </c>
      <c r="B193" s="7" t="s">
        <v>384</v>
      </c>
    </row>
    <row r="194" spans="1:2">
      <c r="A194" s="6" t="s">
        <v>385</v>
      </c>
      <c r="B194" s="7" t="s">
        <v>386</v>
      </c>
    </row>
    <row r="195" spans="1:2">
      <c r="A195" s="6" t="s">
        <v>387</v>
      </c>
      <c r="B195" s="7" t="s">
        <v>388</v>
      </c>
    </row>
    <row r="196" spans="1:2">
      <c r="A196" s="6" t="s">
        <v>389</v>
      </c>
      <c r="B196" s="7" t="s">
        <v>390</v>
      </c>
    </row>
    <row r="197" spans="1:2">
      <c r="A197" s="6" t="s">
        <v>391</v>
      </c>
      <c r="B197" s="7" t="s">
        <v>392</v>
      </c>
    </row>
    <row r="198" spans="1:2">
      <c r="A198" s="6" t="s">
        <v>393</v>
      </c>
      <c r="B198" s="7" t="s">
        <v>394</v>
      </c>
    </row>
    <row r="199" spans="1:2">
      <c r="A199" s="6" t="s">
        <v>395</v>
      </c>
      <c r="B199" s="7" t="s">
        <v>396</v>
      </c>
    </row>
    <row r="200" spans="1:2">
      <c r="A200" s="6" t="s">
        <v>397</v>
      </c>
      <c r="B200" s="7" t="s">
        <v>398</v>
      </c>
    </row>
    <row r="201" spans="1:2">
      <c r="A201" s="6" t="s">
        <v>399</v>
      </c>
      <c r="B201" s="7" t="s">
        <v>180</v>
      </c>
    </row>
    <row r="202" spans="1:2">
      <c r="A202" s="6" t="s">
        <v>400</v>
      </c>
      <c r="B202" s="7" t="s">
        <v>401</v>
      </c>
    </row>
    <row r="203" spans="1:2">
      <c r="A203" s="6" t="s">
        <v>402</v>
      </c>
      <c r="B203" s="7" t="s">
        <v>403</v>
      </c>
    </row>
    <row r="204" spans="1:2">
      <c r="A204" s="6" t="s">
        <v>404</v>
      </c>
      <c r="B204" s="7" t="s">
        <v>405</v>
      </c>
    </row>
    <row r="205" spans="1:2">
      <c r="A205" s="6" t="s">
        <v>406</v>
      </c>
      <c r="B205" s="7" t="s">
        <v>407</v>
      </c>
    </row>
    <row r="206" spans="1:2">
      <c r="A206" s="6" t="s">
        <v>408</v>
      </c>
      <c r="B206" s="7" t="s">
        <v>409</v>
      </c>
    </row>
    <row r="207" spans="1:2" ht="26.4">
      <c r="A207" s="6" t="s">
        <v>410</v>
      </c>
      <c r="B207" s="7" t="s">
        <v>411</v>
      </c>
    </row>
    <row r="208" spans="1:2" ht="26.4">
      <c r="A208" s="6" t="s">
        <v>412</v>
      </c>
      <c r="B208" s="7" t="s">
        <v>413</v>
      </c>
    </row>
    <row r="209" spans="1:2">
      <c r="A209" s="6" t="s">
        <v>414</v>
      </c>
      <c r="B209" s="7" t="s">
        <v>415</v>
      </c>
    </row>
    <row r="210" spans="1:2">
      <c r="A210" s="6" t="s">
        <v>416</v>
      </c>
      <c r="B210" s="7" t="s">
        <v>417</v>
      </c>
    </row>
    <row r="211" spans="1:2">
      <c r="A211" s="6" t="s">
        <v>418</v>
      </c>
      <c r="B211" s="7" t="s">
        <v>419</v>
      </c>
    </row>
    <row r="212" spans="1:2">
      <c r="A212" s="6" t="s">
        <v>420</v>
      </c>
      <c r="B212" s="7" t="s">
        <v>421</v>
      </c>
    </row>
    <row r="213" spans="1:2">
      <c r="A213" s="6" t="s">
        <v>422</v>
      </c>
      <c r="B213" s="7" t="s">
        <v>423</v>
      </c>
    </row>
    <row r="214" spans="1:2">
      <c r="A214" s="6" t="s">
        <v>424</v>
      </c>
      <c r="B214" s="7" t="s">
        <v>425</v>
      </c>
    </row>
    <row r="215" spans="1:2">
      <c r="A215" s="6" t="s">
        <v>426</v>
      </c>
      <c r="B215" s="7" t="s">
        <v>427</v>
      </c>
    </row>
    <row r="216" spans="1:2">
      <c r="A216" s="6" t="s">
        <v>428</v>
      </c>
      <c r="B216" s="7" t="s">
        <v>429</v>
      </c>
    </row>
    <row r="217" spans="1:2" ht="26.4">
      <c r="A217" s="6" t="s">
        <v>430</v>
      </c>
      <c r="B217" s="7" t="s">
        <v>431</v>
      </c>
    </row>
    <row r="218" spans="1:2">
      <c r="A218" s="6" t="s">
        <v>432</v>
      </c>
      <c r="B218" s="7" t="s">
        <v>433</v>
      </c>
    </row>
    <row r="219" spans="1:2">
      <c r="A219" s="6" t="s">
        <v>434</v>
      </c>
      <c r="B219" s="7" t="s">
        <v>435</v>
      </c>
    </row>
    <row r="220" spans="1:2">
      <c r="A220" s="6" t="s">
        <v>436</v>
      </c>
      <c r="B220" s="7" t="s">
        <v>437</v>
      </c>
    </row>
    <row r="221" spans="1:2">
      <c r="A221" s="6" t="s">
        <v>438</v>
      </c>
      <c r="B221" s="7" t="s">
        <v>439</v>
      </c>
    </row>
    <row r="222" spans="1:2">
      <c r="A222" s="6" t="s">
        <v>440</v>
      </c>
      <c r="B222" s="7" t="s">
        <v>441</v>
      </c>
    </row>
    <row r="223" spans="1:2">
      <c r="A223" s="6" t="s">
        <v>442</v>
      </c>
      <c r="B223" s="7" t="s">
        <v>443</v>
      </c>
    </row>
    <row r="224" spans="1:2">
      <c r="A224" s="6" t="s">
        <v>444</v>
      </c>
      <c r="B224" s="7" t="s">
        <v>445</v>
      </c>
    </row>
    <row r="225" spans="1:2">
      <c r="A225" s="6" t="s">
        <v>446</v>
      </c>
      <c r="B225" s="7" t="s">
        <v>210</v>
      </c>
    </row>
    <row r="226" spans="1:2">
      <c r="A226" s="6" t="s">
        <v>447</v>
      </c>
      <c r="B226" s="7" t="s">
        <v>448</v>
      </c>
    </row>
    <row r="227" spans="1:2">
      <c r="A227" s="6" t="s">
        <v>449</v>
      </c>
      <c r="B227" s="7" t="s">
        <v>450</v>
      </c>
    </row>
    <row r="228" spans="1:2">
      <c r="A228" s="6" t="s">
        <v>451</v>
      </c>
      <c r="B228" s="7" t="s">
        <v>452</v>
      </c>
    </row>
    <row r="229" spans="1:2">
      <c r="A229" s="6" t="s">
        <v>453</v>
      </c>
      <c r="B229" s="7" t="s">
        <v>454</v>
      </c>
    </row>
    <row r="230" spans="1:2">
      <c r="A230" s="6" t="s">
        <v>455</v>
      </c>
      <c r="B230" s="7" t="s">
        <v>456</v>
      </c>
    </row>
    <row r="231" spans="1:2">
      <c r="A231" s="6" t="s">
        <v>457</v>
      </c>
      <c r="B231" s="7" t="s">
        <v>458</v>
      </c>
    </row>
    <row r="232" spans="1:2">
      <c r="A232" s="6" t="s">
        <v>459</v>
      </c>
      <c r="B232" s="7" t="s">
        <v>460</v>
      </c>
    </row>
    <row r="233" spans="1:2">
      <c r="A233" s="6" t="s">
        <v>461</v>
      </c>
      <c r="B233" s="7" t="s">
        <v>462</v>
      </c>
    </row>
    <row r="234" spans="1:2">
      <c r="A234" s="6" t="s">
        <v>463</v>
      </c>
      <c r="B234" s="7" t="s">
        <v>464</v>
      </c>
    </row>
    <row r="235" spans="1:2">
      <c r="A235" s="8" t="s">
        <v>465</v>
      </c>
      <c r="B235" s="9" t="s">
        <v>466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484D-36A5-4DA2-AE89-DBE139C0291E}">
  <sheetPr codeName="Feuil9">
    <tabColor rgb="FF00B0F0"/>
  </sheetPr>
  <dimension ref="A1:B303"/>
  <sheetViews>
    <sheetView zoomScaleNormal="100" workbookViewId="0">
      <pane ySplit="1" topLeftCell="A56" activePane="bottomLeft" state="frozen"/>
      <selection activeCell="A28" sqref="A28"/>
      <selection pane="bottomLeft" activeCell="A28" sqref="A28"/>
    </sheetView>
  </sheetViews>
  <sheetFormatPr baseColWidth="10" defaultColWidth="11.5546875" defaultRowHeight="13.2"/>
  <cols>
    <col min="1" max="1" width="52.44140625" style="3" customWidth="1"/>
    <col min="2" max="2" width="119.6640625" style="3" customWidth="1"/>
    <col min="3" max="16384" width="11.5546875" style="3"/>
  </cols>
  <sheetData>
    <row r="1" spans="1:2">
      <c r="A1" s="4" t="s">
        <v>0</v>
      </c>
      <c r="B1" s="5" t="s">
        <v>1</v>
      </c>
    </row>
    <row r="2" spans="1:2" ht="26.4">
      <c r="A2" s="6" t="s">
        <v>2337</v>
      </c>
      <c r="B2" s="7" t="s">
        <v>2338</v>
      </c>
    </row>
    <row r="3" spans="1:2" ht="26.4">
      <c r="A3" s="6" t="s">
        <v>2339</v>
      </c>
      <c r="B3" s="7" t="s">
        <v>2340</v>
      </c>
    </row>
    <row r="4" spans="1:2">
      <c r="A4" s="6" t="s">
        <v>2341</v>
      </c>
      <c r="B4" s="7" t="s">
        <v>2342</v>
      </c>
    </row>
    <row r="5" spans="1:2">
      <c r="A5" s="6" t="s">
        <v>2343</v>
      </c>
      <c r="B5" s="7" t="s">
        <v>2344</v>
      </c>
    </row>
    <row r="6" spans="1:2">
      <c r="A6" s="6" t="s">
        <v>2345</v>
      </c>
      <c r="B6" s="7" t="s">
        <v>2346</v>
      </c>
    </row>
    <row r="7" spans="1:2">
      <c r="A7" s="6" t="s">
        <v>2347</v>
      </c>
      <c r="B7" s="7" t="s">
        <v>2348</v>
      </c>
    </row>
    <row r="8" spans="1:2" ht="26.4">
      <c r="A8" s="6" t="s">
        <v>2349</v>
      </c>
      <c r="B8" s="7" t="s">
        <v>2350</v>
      </c>
    </row>
    <row r="9" spans="1:2" ht="26.4">
      <c r="A9" s="6" t="s">
        <v>2351</v>
      </c>
      <c r="B9" s="7" t="s">
        <v>2352</v>
      </c>
    </row>
    <row r="10" spans="1:2" ht="26.4">
      <c r="A10" s="6" t="s">
        <v>2353</v>
      </c>
      <c r="B10" s="7" t="s">
        <v>2354</v>
      </c>
    </row>
    <row r="11" spans="1:2" ht="26.4">
      <c r="A11" s="6" t="s">
        <v>2355</v>
      </c>
      <c r="B11" s="7" t="s">
        <v>2356</v>
      </c>
    </row>
    <row r="12" spans="1:2">
      <c r="A12" s="6" t="s">
        <v>2357</v>
      </c>
      <c r="B12" s="7" t="s">
        <v>2358</v>
      </c>
    </row>
    <row r="13" spans="1:2" ht="26.4">
      <c r="A13" s="6" t="s">
        <v>2359</v>
      </c>
      <c r="B13" s="7" t="s">
        <v>2360</v>
      </c>
    </row>
    <row r="14" spans="1:2">
      <c r="A14" s="6" t="s">
        <v>2361</v>
      </c>
      <c r="B14" s="7" t="s">
        <v>2362</v>
      </c>
    </row>
    <row r="15" spans="1:2">
      <c r="A15" s="6" t="s">
        <v>2363</v>
      </c>
      <c r="B15" s="7" t="s">
        <v>2364</v>
      </c>
    </row>
    <row r="16" spans="1:2" ht="26.4">
      <c r="A16" s="6" t="s">
        <v>2365</v>
      </c>
      <c r="B16" s="7" t="s">
        <v>2366</v>
      </c>
    </row>
    <row r="17" spans="1:2">
      <c r="A17" s="6" t="s">
        <v>2367</v>
      </c>
      <c r="B17" s="7" t="s">
        <v>2368</v>
      </c>
    </row>
    <row r="18" spans="1:2">
      <c r="A18" s="6" t="s">
        <v>2369</v>
      </c>
      <c r="B18" s="7" t="s">
        <v>2370</v>
      </c>
    </row>
    <row r="19" spans="1:2" ht="26.4">
      <c r="A19" s="6" t="s">
        <v>2371</v>
      </c>
      <c r="B19" s="7" t="s">
        <v>2372</v>
      </c>
    </row>
    <row r="20" spans="1:2" ht="26.4">
      <c r="A20" s="6" t="s">
        <v>2373</v>
      </c>
      <c r="B20" s="7" t="s">
        <v>2374</v>
      </c>
    </row>
    <row r="21" spans="1:2" ht="26.4">
      <c r="A21" s="6" t="s">
        <v>2375</v>
      </c>
      <c r="B21" s="7" t="s">
        <v>2376</v>
      </c>
    </row>
    <row r="22" spans="1:2" ht="26.4">
      <c r="A22" s="6" t="s">
        <v>2377</v>
      </c>
      <c r="B22" s="7" t="s">
        <v>2378</v>
      </c>
    </row>
    <row r="23" spans="1:2">
      <c r="A23" s="6" t="s">
        <v>2379</v>
      </c>
      <c r="B23" s="7" t="s">
        <v>2380</v>
      </c>
    </row>
    <row r="24" spans="1:2" ht="26.4">
      <c r="A24" s="6" t="s">
        <v>2381</v>
      </c>
      <c r="B24" s="7" t="s">
        <v>2382</v>
      </c>
    </row>
    <row r="25" spans="1:2" ht="26.4">
      <c r="A25" s="6" t="s">
        <v>2383</v>
      </c>
      <c r="B25" s="7" t="s">
        <v>2384</v>
      </c>
    </row>
    <row r="26" spans="1:2">
      <c r="A26" s="6" t="s">
        <v>2385</v>
      </c>
      <c r="B26" s="7" t="s">
        <v>2386</v>
      </c>
    </row>
    <row r="27" spans="1:2" ht="26.4">
      <c r="A27" s="6" t="s">
        <v>2387</v>
      </c>
      <c r="B27" s="7" t="s">
        <v>2388</v>
      </c>
    </row>
    <row r="28" spans="1:2">
      <c r="A28" s="6" t="s">
        <v>2187</v>
      </c>
      <c r="B28" s="7" t="s">
        <v>2389</v>
      </c>
    </row>
    <row r="29" spans="1:2">
      <c r="A29" s="6" t="s">
        <v>2390</v>
      </c>
      <c r="B29" s="7" t="s">
        <v>2391</v>
      </c>
    </row>
    <row r="30" spans="1:2">
      <c r="A30" s="6" t="s">
        <v>2392</v>
      </c>
      <c r="B30" s="7" t="s">
        <v>2393</v>
      </c>
    </row>
    <row r="31" spans="1:2" ht="26.4">
      <c r="A31" s="6" t="s">
        <v>2394</v>
      </c>
      <c r="B31" s="7" t="s">
        <v>2395</v>
      </c>
    </row>
    <row r="32" spans="1:2" ht="26.4">
      <c r="A32" s="6" t="s">
        <v>2396</v>
      </c>
      <c r="B32" s="7" t="s">
        <v>2397</v>
      </c>
    </row>
    <row r="33" spans="1:2" ht="26.4">
      <c r="A33" s="6" t="s">
        <v>2398</v>
      </c>
      <c r="B33" s="7" t="s">
        <v>2399</v>
      </c>
    </row>
    <row r="34" spans="1:2" ht="26.4">
      <c r="A34" s="6" t="s">
        <v>2400</v>
      </c>
      <c r="B34" s="7" t="s">
        <v>2401</v>
      </c>
    </row>
    <row r="35" spans="1:2">
      <c r="A35" s="6" t="s">
        <v>2402</v>
      </c>
      <c r="B35" s="7" t="s">
        <v>2403</v>
      </c>
    </row>
    <row r="36" spans="1:2">
      <c r="A36" s="6" t="s">
        <v>2404</v>
      </c>
      <c r="B36" s="7" t="s">
        <v>2405</v>
      </c>
    </row>
    <row r="37" spans="1:2" ht="26.4">
      <c r="A37" s="6" t="s">
        <v>2406</v>
      </c>
      <c r="B37" s="7" t="s">
        <v>2407</v>
      </c>
    </row>
    <row r="38" spans="1:2">
      <c r="A38" s="6" t="s">
        <v>2408</v>
      </c>
      <c r="B38" s="7" t="s">
        <v>2409</v>
      </c>
    </row>
    <row r="39" spans="1:2">
      <c r="A39" s="6" t="s">
        <v>2410</v>
      </c>
      <c r="B39" s="7" t="s">
        <v>2411</v>
      </c>
    </row>
    <row r="40" spans="1:2">
      <c r="A40" s="6" t="s">
        <v>2412</v>
      </c>
      <c r="B40" s="7" t="s">
        <v>2413</v>
      </c>
    </row>
    <row r="41" spans="1:2">
      <c r="A41" s="6" t="s">
        <v>2414</v>
      </c>
      <c r="B41" s="7" t="s">
        <v>2415</v>
      </c>
    </row>
    <row r="42" spans="1:2" ht="26.4">
      <c r="A42" s="6" t="s">
        <v>2416</v>
      </c>
      <c r="B42" s="7" t="s">
        <v>2417</v>
      </c>
    </row>
    <row r="43" spans="1:2" ht="26.4">
      <c r="A43" s="6" t="s">
        <v>2418</v>
      </c>
      <c r="B43" s="7" t="s">
        <v>2419</v>
      </c>
    </row>
    <row r="44" spans="1:2" ht="26.4">
      <c r="A44" s="6" t="s">
        <v>2420</v>
      </c>
      <c r="B44" s="7" t="s">
        <v>2421</v>
      </c>
    </row>
    <row r="45" spans="1:2" ht="26.4">
      <c r="A45" s="6" t="s">
        <v>2422</v>
      </c>
      <c r="B45" s="7" t="s">
        <v>2423</v>
      </c>
    </row>
    <row r="46" spans="1:2">
      <c r="A46" s="6" t="s">
        <v>2424</v>
      </c>
      <c r="B46" s="7" t="s">
        <v>2425</v>
      </c>
    </row>
    <row r="47" spans="1:2">
      <c r="A47" s="6" t="s">
        <v>2426</v>
      </c>
      <c r="B47" s="7" t="s">
        <v>2427</v>
      </c>
    </row>
    <row r="48" spans="1:2" ht="26.4">
      <c r="A48" s="6" t="s">
        <v>2428</v>
      </c>
      <c r="B48" s="7" t="s">
        <v>2429</v>
      </c>
    </row>
    <row r="49" spans="1:2">
      <c r="A49" s="6" t="s">
        <v>2430</v>
      </c>
      <c r="B49" s="7" t="s">
        <v>2431</v>
      </c>
    </row>
    <row r="50" spans="1:2" ht="26.4">
      <c r="A50" s="6" t="s">
        <v>2432</v>
      </c>
      <c r="B50" s="7" t="s">
        <v>2433</v>
      </c>
    </row>
    <row r="51" spans="1:2" ht="26.4">
      <c r="A51" s="6" t="s">
        <v>2434</v>
      </c>
      <c r="B51" s="7" t="s">
        <v>2435</v>
      </c>
    </row>
    <row r="52" spans="1:2">
      <c r="A52" s="6" t="s">
        <v>2436</v>
      </c>
      <c r="B52" s="7" t="s">
        <v>2437</v>
      </c>
    </row>
    <row r="53" spans="1:2">
      <c r="A53" s="6" t="s">
        <v>2438</v>
      </c>
      <c r="B53" s="7" t="s">
        <v>2439</v>
      </c>
    </row>
    <row r="54" spans="1:2">
      <c r="A54" s="6" t="s">
        <v>2440</v>
      </c>
      <c r="B54" s="7" t="s">
        <v>2441</v>
      </c>
    </row>
    <row r="55" spans="1:2">
      <c r="A55" s="6" t="s">
        <v>2442</v>
      </c>
      <c r="B55" s="7" t="s">
        <v>2443</v>
      </c>
    </row>
    <row r="56" spans="1:2" ht="26.4">
      <c r="A56" s="6" t="s">
        <v>2444</v>
      </c>
      <c r="B56" s="7" t="s">
        <v>2445</v>
      </c>
    </row>
    <row r="57" spans="1:2" ht="26.4">
      <c r="A57" s="6" t="s">
        <v>2446</v>
      </c>
      <c r="B57" s="7" t="s">
        <v>2447</v>
      </c>
    </row>
    <row r="58" spans="1:2" ht="26.4">
      <c r="A58" s="6" t="s">
        <v>2448</v>
      </c>
      <c r="B58" s="7" t="s">
        <v>2449</v>
      </c>
    </row>
    <row r="59" spans="1:2" ht="26.4">
      <c r="A59" s="6" t="s">
        <v>2450</v>
      </c>
      <c r="B59" s="7" t="s">
        <v>2451</v>
      </c>
    </row>
    <row r="60" spans="1:2" ht="26.4">
      <c r="A60" s="6" t="s">
        <v>2452</v>
      </c>
      <c r="B60" s="7" t="s">
        <v>2453</v>
      </c>
    </row>
    <row r="61" spans="1:2" ht="26.4">
      <c r="A61" s="6" t="s">
        <v>2454</v>
      </c>
      <c r="B61" s="7" t="s">
        <v>2455</v>
      </c>
    </row>
    <row r="62" spans="1:2" ht="26.4">
      <c r="A62" s="6" t="s">
        <v>2456</v>
      </c>
      <c r="B62" s="7" t="s">
        <v>2457</v>
      </c>
    </row>
    <row r="63" spans="1:2">
      <c r="A63" s="6" t="s">
        <v>2458</v>
      </c>
      <c r="B63" s="7" t="s">
        <v>2459</v>
      </c>
    </row>
    <row r="64" spans="1:2" ht="26.4">
      <c r="A64" s="6" t="s">
        <v>2460</v>
      </c>
      <c r="B64" s="7" t="s">
        <v>2461</v>
      </c>
    </row>
    <row r="65" spans="1:2">
      <c r="A65" s="6" t="s">
        <v>2462</v>
      </c>
      <c r="B65" s="7" t="s">
        <v>2463</v>
      </c>
    </row>
    <row r="66" spans="1:2" ht="26.4">
      <c r="A66" s="6" t="s">
        <v>2464</v>
      </c>
      <c r="B66" s="7" t="s">
        <v>2465</v>
      </c>
    </row>
    <row r="67" spans="1:2" ht="26.4">
      <c r="A67" s="6" t="s">
        <v>2466</v>
      </c>
      <c r="B67" s="7" t="s">
        <v>2467</v>
      </c>
    </row>
    <row r="68" spans="1:2" ht="39.6">
      <c r="A68" s="6" t="s">
        <v>2468</v>
      </c>
      <c r="B68" s="7" t="s">
        <v>2469</v>
      </c>
    </row>
    <row r="69" spans="1:2" ht="26.4">
      <c r="A69" s="6" t="s">
        <v>2470</v>
      </c>
      <c r="B69" s="7" t="s">
        <v>2471</v>
      </c>
    </row>
    <row r="70" spans="1:2">
      <c r="A70" s="6" t="s">
        <v>2472</v>
      </c>
      <c r="B70" s="7" t="s">
        <v>2473</v>
      </c>
    </row>
    <row r="71" spans="1:2" ht="26.4">
      <c r="A71" s="6" t="s">
        <v>2474</v>
      </c>
      <c r="B71" s="7" t="s">
        <v>2475</v>
      </c>
    </row>
    <row r="72" spans="1:2" ht="26.4">
      <c r="A72" s="6" t="s">
        <v>2476</v>
      </c>
      <c r="B72" s="7" t="s">
        <v>2477</v>
      </c>
    </row>
    <row r="73" spans="1:2">
      <c r="A73" s="6" t="s">
        <v>2478</v>
      </c>
      <c r="B73" s="7" t="s">
        <v>2479</v>
      </c>
    </row>
    <row r="74" spans="1:2" ht="26.4">
      <c r="A74" s="6" t="s">
        <v>2480</v>
      </c>
      <c r="B74" s="7" t="s">
        <v>2481</v>
      </c>
    </row>
    <row r="75" spans="1:2" ht="26.4">
      <c r="A75" s="6" t="s">
        <v>2482</v>
      </c>
      <c r="B75" s="7" t="s">
        <v>2483</v>
      </c>
    </row>
    <row r="76" spans="1:2">
      <c r="A76" s="6" t="s">
        <v>2484</v>
      </c>
      <c r="B76" s="7" t="s">
        <v>2485</v>
      </c>
    </row>
    <row r="77" spans="1:2">
      <c r="A77" s="6" t="s">
        <v>2486</v>
      </c>
      <c r="B77" s="7" t="s">
        <v>2487</v>
      </c>
    </row>
    <row r="78" spans="1:2">
      <c r="A78" s="6" t="s">
        <v>1641</v>
      </c>
      <c r="B78" s="7" t="s">
        <v>2488</v>
      </c>
    </row>
    <row r="79" spans="1:2" ht="26.4">
      <c r="A79" s="6" t="s">
        <v>2489</v>
      </c>
      <c r="B79" s="7" t="s">
        <v>2490</v>
      </c>
    </row>
    <row r="80" spans="1:2" ht="26.4">
      <c r="A80" s="6" t="s">
        <v>2491</v>
      </c>
      <c r="B80" s="7" t="s">
        <v>2492</v>
      </c>
    </row>
    <row r="81" spans="1:2">
      <c r="A81" s="6" t="s">
        <v>2493</v>
      </c>
      <c r="B81" s="7" t="s">
        <v>2494</v>
      </c>
    </row>
    <row r="82" spans="1:2" ht="26.4">
      <c r="A82" s="6" t="s">
        <v>2495</v>
      </c>
      <c r="B82" s="7" t="s">
        <v>2496</v>
      </c>
    </row>
    <row r="83" spans="1:2" ht="26.4">
      <c r="A83" s="6" t="s">
        <v>2497</v>
      </c>
      <c r="B83" s="7" t="s">
        <v>2498</v>
      </c>
    </row>
    <row r="84" spans="1:2" ht="26.4">
      <c r="A84" s="6" t="s">
        <v>2499</v>
      </c>
      <c r="B84" s="7" t="s">
        <v>2500</v>
      </c>
    </row>
    <row r="85" spans="1:2" ht="26.4">
      <c r="A85" s="6" t="s">
        <v>2501</v>
      </c>
      <c r="B85" s="7" t="s">
        <v>2502</v>
      </c>
    </row>
    <row r="86" spans="1:2" ht="26.4">
      <c r="A86" s="6" t="s">
        <v>2503</v>
      </c>
      <c r="B86" s="7" t="s">
        <v>2504</v>
      </c>
    </row>
    <row r="87" spans="1:2">
      <c r="A87" s="6" t="s">
        <v>2505</v>
      </c>
      <c r="B87" s="7" t="s">
        <v>2506</v>
      </c>
    </row>
    <row r="88" spans="1:2" ht="26.4">
      <c r="A88" s="6" t="s">
        <v>2507</v>
      </c>
      <c r="B88" s="7" t="s">
        <v>2508</v>
      </c>
    </row>
    <row r="89" spans="1:2">
      <c r="A89" s="6" t="s">
        <v>2038</v>
      </c>
      <c r="B89" s="7" t="s">
        <v>2509</v>
      </c>
    </row>
    <row r="90" spans="1:2">
      <c r="A90" s="6" t="s">
        <v>2510</v>
      </c>
      <c r="B90" s="7" t="s">
        <v>2511</v>
      </c>
    </row>
    <row r="91" spans="1:2">
      <c r="A91" s="6" t="s">
        <v>2512</v>
      </c>
      <c r="B91" s="7" t="s">
        <v>2513</v>
      </c>
    </row>
    <row r="92" spans="1:2">
      <c r="A92" s="6" t="s">
        <v>2514</v>
      </c>
      <c r="B92" s="7" t="s">
        <v>2515</v>
      </c>
    </row>
    <row r="93" spans="1:2" ht="26.4">
      <c r="A93" s="6" t="s">
        <v>2516</v>
      </c>
      <c r="B93" s="7" t="s">
        <v>2517</v>
      </c>
    </row>
    <row r="94" spans="1:2">
      <c r="A94" s="6" t="s">
        <v>2518</v>
      </c>
      <c r="B94" s="7" t="s">
        <v>2519</v>
      </c>
    </row>
    <row r="95" spans="1:2" ht="26.4">
      <c r="A95" s="6" t="s">
        <v>2520</v>
      </c>
      <c r="B95" s="7" t="s">
        <v>2521</v>
      </c>
    </row>
    <row r="96" spans="1:2" ht="26.4">
      <c r="A96" s="6" t="s">
        <v>2522</v>
      </c>
      <c r="B96" s="7" t="s">
        <v>2523</v>
      </c>
    </row>
    <row r="97" spans="1:2" ht="26.4">
      <c r="A97" s="6" t="s">
        <v>2524</v>
      </c>
      <c r="B97" s="7" t="s">
        <v>2525</v>
      </c>
    </row>
    <row r="98" spans="1:2" ht="26.4">
      <c r="A98" s="6" t="s">
        <v>2526</v>
      </c>
      <c r="B98" s="7" t="s">
        <v>2527</v>
      </c>
    </row>
    <row r="99" spans="1:2" ht="26.4">
      <c r="A99" s="6" t="s">
        <v>2528</v>
      </c>
      <c r="B99" s="7" t="s">
        <v>2529</v>
      </c>
    </row>
    <row r="100" spans="1:2" ht="26.4">
      <c r="A100" s="6" t="s">
        <v>2530</v>
      </c>
      <c r="B100" s="7" t="s">
        <v>2531</v>
      </c>
    </row>
    <row r="101" spans="1:2" ht="26.4">
      <c r="A101" s="6" t="s">
        <v>2532</v>
      </c>
      <c r="B101" s="7" t="s">
        <v>2533</v>
      </c>
    </row>
    <row r="102" spans="1:2" ht="26.4">
      <c r="A102" s="6" t="s">
        <v>2534</v>
      </c>
      <c r="B102" s="7" t="s">
        <v>2535</v>
      </c>
    </row>
    <row r="103" spans="1:2">
      <c r="A103" s="6" t="s">
        <v>2536</v>
      </c>
      <c r="B103" s="7" t="s">
        <v>2537</v>
      </c>
    </row>
    <row r="104" spans="1:2">
      <c r="A104" s="6" t="s">
        <v>2538</v>
      </c>
      <c r="B104" s="7" t="s">
        <v>2539</v>
      </c>
    </row>
    <row r="105" spans="1:2">
      <c r="A105" s="6" t="s">
        <v>2540</v>
      </c>
      <c r="B105" s="7" t="s">
        <v>2541</v>
      </c>
    </row>
    <row r="106" spans="1:2" ht="39.6">
      <c r="A106" s="6" t="s">
        <v>2542</v>
      </c>
      <c r="B106" s="7" t="s">
        <v>2543</v>
      </c>
    </row>
    <row r="107" spans="1:2" ht="26.4">
      <c r="A107" s="6" t="s">
        <v>2544</v>
      </c>
      <c r="B107" s="7" t="s">
        <v>2545</v>
      </c>
    </row>
    <row r="108" spans="1:2" ht="26.4">
      <c r="A108" s="6" t="s">
        <v>2546</v>
      </c>
      <c r="B108" s="7" t="s">
        <v>2547</v>
      </c>
    </row>
    <row r="109" spans="1:2" ht="26.4">
      <c r="A109" s="6" t="s">
        <v>2548</v>
      </c>
      <c r="B109" s="7" t="s">
        <v>2549</v>
      </c>
    </row>
    <row r="110" spans="1:2">
      <c r="A110" s="6" t="s">
        <v>2550</v>
      </c>
      <c r="B110" s="7" t="s">
        <v>2551</v>
      </c>
    </row>
    <row r="111" spans="1:2" ht="26.4">
      <c r="A111" s="6" t="s">
        <v>2552</v>
      </c>
      <c r="B111" s="7" t="s">
        <v>2553</v>
      </c>
    </row>
    <row r="112" spans="1:2" ht="26.4">
      <c r="A112" s="6" t="s">
        <v>2046</v>
      </c>
      <c r="B112" s="7" t="s">
        <v>2554</v>
      </c>
    </row>
    <row r="113" spans="1:2" ht="26.4">
      <c r="A113" s="6" t="s">
        <v>2555</v>
      </c>
      <c r="B113" s="7" t="s">
        <v>2556</v>
      </c>
    </row>
    <row r="114" spans="1:2" ht="26.4">
      <c r="A114" s="6" t="s">
        <v>2557</v>
      </c>
      <c r="B114" s="7" t="s">
        <v>2558</v>
      </c>
    </row>
    <row r="115" spans="1:2" ht="26.4">
      <c r="A115" s="6" t="s">
        <v>2559</v>
      </c>
      <c r="B115" s="7" t="s">
        <v>2560</v>
      </c>
    </row>
    <row r="116" spans="1:2" ht="26.4">
      <c r="A116" s="6" t="s">
        <v>2561</v>
      </c>
      <c r="B116" s="7" t="s">
        <v>2562</v>
      </c>
    </row>
    <row r="117" spans="1:2" ht="26.4">
      <c r="A117" s="6" t="s">
        <v>2563</v>
      </c>
      <c r="B117" s="7" t="s">
        <v>2564</v>
      </c>
    </row>
    <row r="118" spans="1:2" ht="26.4">
      <c r="A118" s="6" t="s">
        <v>2565</v>
      </c>
      <c r="B118" s="7" t="s">
        <v>2566</v>
      </c>
    </row>
    <row r="119" spans="1:2" ht="26.4">
      <c r="A119" s="6" t="s">
        <v>2567</v>
      </c>
      <c r="B119" s="7" t="s">
        <v>2568</v>
      </c>
    </row>
    <row r="120" spans="1:2">
      <c r="A120" s="6" t="s">
        <v>2569</v>
      </c>
      <c r="B120" s="7" t="s">
        <v>2570</v>
      </c>
    </row>
    <row r="121" spans="1:2" ht="26.4">
      <c r="A121" s="6" t="s">
        <v>2571</v>
      </c>
      <c r="B121" s="7" t="s">
        <v>2572</v>
      </c>
    </row>
    <row r="122" spans="1:2">
      <c r="A122" s="6" t="s">
        <v>2573</v>
      </c>
      <c r="B122" s="7" t="s">
        <v>2574</v>
      </c>
    </row>
    <row r="123" spans="1:2" ht="26.4">
      <c r="A123" s="6" t="s">
        <v>2575</v>
      </c>
      <c r="B123" s="7" t="s">
        <v>2576</v>
      </c>
    </row>
    <row r="124" spans="1:2">
      <c r="A124" s="6" t="s">
        <v>2577</v>
      </c>
      <c r="B124" s="7" t="s">
        <v>2578</v>
      </c>
    </row>
    <row r="125" spans="1:2" ht="26.4">
      <c r="A125" s="6" t="s">
        <v>2579</v>
      </c>
      <c r="B125" s="7" t="s">
        <v>2580</v>
      </c>
    </row>
    <row r="126" spans="1:2" ht="26.4">
      <c r="A126" s="6" t="s">
        <v>2581</v>
      </c>
      <c r="B126" s="7" t="s">
        <v>2582</v>
      </c>
    </row>
    <row r="127" spans="1:2" ht="26.4">
      <c r="A127" s="6" t="s">
        <v>2583</v>
      </c>
      <c r="B127" s="7" t="s">
        <v>2584</v>
      </c>
    </row>
    <row r="128" spans="1:2">
      <c r="A128" s="6" t="s">
        <v>2585</v>
      </c>
      <c r="B128" s="7" t="s">
        <v>2586</v>
      </c>
    </row>
    <row r="129" spans="1:2">
      <c r="A129" s="6" t="s">
        <v>2587</v>
      </c>
      <c r="B129" s="7" t="s">
        <v>2588</v>
      </c>
    </row>
    <row r="130" spans="1:2" ht="26.4">
      <c r="A130" s="6" t="s">
        <v>2589</v>
      </c>
      <c r="B130" s="7" t="s">
        <v>2590</v>
      </c>
    </row>
    <row r="131" spans="1:2">
      <c r="A131" s="6" t="s">
        <v>2591</v>
      </c>
      <c r="B131" s="7" t="s">
        <v>2592</v>
      </c>
    </row>
    <row r="132" spans="1:2" ht="26.4">
      <c r="A132" s="6" t="s">
        <v>2593</v>
      </c>
      <c r="B132" s="7" t="s">
        <v>2594</v>
      </c>
    </row>
    <row r="133" spans="1:2" ht="26.4">
      <c r="A133" s="6" t="s">
        <v>2595</v>
      </c>
      <c r="B133" s="7" t="s">
        <v>2596</v>
      </c>
    </row>
    <row r="134" spans="1:2">
      <c r="A134" s="6" t="s">
        <v>2597</v>
      </c>
      <c r="B134" s="7" t="s">
        <v>2598</v>
      </c>
    </row>
    <row r="135" spans="1:2">
      <c r="A135" s="6" t="s">
        <v>2599</v>
      </c>
      <c r="B135" s="7" t="s">
        <v>2600</v>
      </c>
    </row>
    <row r="136" spans="1:2" ht="26.4">
      <c r="A136" s="6" t="s">
        <v>2601</v>
      </c>
      <c r="B136" s="7" t="s">
        <v>2602</v>
      </c>
    </row>
    <row r="137" spans="1:2">
      <c r="A137" s="6" t="s">
        <v>2603</v>
      </c>
      <c r="B137" s="7" t="s">
        <v>2604</v>
      </c>
    </row>
    <row r="138" spans="1:2">
      <c r="A138" s="6" t="s">
        <v>2605</v>
      </c>
      <c r="B138" s="7" t="s">
        <v>2606</v>
      </c>
    </row>
    <row r="139" spans="1:2" ht="26.4">
      <c r="A139" s="6" t="s">
        <v>2607</v>
      </c>
      <c r="B139" s="7" t="s">
        <v>2608</v>
      </c>
    </row>
    <row r="140" spans="1:2">
      <c r="A140" s="6" t="s">
        <v>2609</v>
      </c>
      <c r="B140" s="7" t="s">
        <v>2610</v>
      </c>
    </row>
    <row r="141" spans="1:2">
      <c r="A141" s="6" t="s">
        <v>2611</v>
      </c>
      <c r="B141" s="7" t="s">
        <v>2612</v>
      </c>
    </row>
    <row r="142" spans="1:2" ht="26.4">
      <c r="A142" s="6" t="s">
        <v>2613</v>
      </c>
      <c r="B142" s="7" t="s">
        <v>2614</v>
      </c>
    </row>
    <row r="143" spans="1:2" ht="26.4">
      <c r="A143" s="6" t="s">
        <v>2615</v>
      </c>
      <c r="B143" s="7" t="s">
        <v>2616</v>
      </c>
    </row>
    <row r="144" spans="1:2" ht="26.4">
      <c r="A144" s="6" t="s">
        <v>2617</v>
      </c>
      <c r="B144" s="7" t="s">
        <v>2618</v>
      </c>
    </row>
    <row r="145" spans="1:2" ht="26.4">
      <c r="A145" s="6" t="s">
        <v>2619</v>
      </c>
      <c r="B145" s="7" t="s">
        <v>2620</v>
      </c>
    </row>
    <row r="146" spans="1:2" ht="26.4">
      <c r="A146" s="6" t="s">
        <v>2621</v>
      </c>
      <c r="B146" s="7" t="s">
        <v>2622</v>
      </c>
    </row>
    <row r="147" spans="1:2">
      <c r="A147" s="6" t="s">
        <v>2623</v>
      </c>
      <c r="B147" s="7" t="s">
        <v>2624</v>
      </c>
    </row>
    <row r="148" spans="1:2" ht="26.4">
      <c r="A148" s="6" t="s">
        <v>2625</v>
      </c>
      <c r="B148" s="7" t="s">
        <v>2626</v>
      </c>
    </row>
    <row r="149" spans="1:2">
      <c r="A149" s="6" t="s">
        <v>2627</v>
      </c>
      <c r="B149" s="7" t="s">
        <v>2628</v>
      </c>
    </row>
    <row r="150" spans="1:2">
      <c r="A150" s="6" t="s">
        <v>2629</v>
      </c>
      <c r="B150" s="7" t="s">
        <v>2630</v>
      </c>
    </row>
    <row r="151" spans="1:2" ht="26.4">
      <c r="A151" s="6" t="s">
        <v>2631</v>
      </c>
      <c r="B151" s="7" t="s">
        <v>2632</v>
      </c>
    </row>
    <row r="152" spans="1:2" ht="39.6">
      <c r="A152" s="6" t="s">
        <v>2633</v>
      </c>
      <c r="B152" s="7" t="s">
        <v>2634</v>
      </c>
    </row>
    <row r="153" spans="1:2" ht="26.4">
      <c r="A153" s="6" t="s">
        <v>2635</v>
      </c>
      <c r="B153" s="7" t="s">
        <v>2636</v>
      </c>
    </row>
    <row r="154" spans="1:2" ht="26.4">
      <c r="A154" s="6" t="s">
        <v>2637</v>
      </c>
      <c r="B154" s="7" t="s">
        <v>2638</v>
      </c>
    </row>
    <row r="155" spans="1:2" ht="26.4">
      <c r="A155" s="6" t="s">
        <v>2639</v>
      </c>
      <c r="B155" s="7" t="s">
        <v>2640</v>
      </c>
    </row>
    <row r="156" spans="1:2" ht="26.4">
      <c r="A156" s="6" t="s">
        <v>2641</v>
      </c>
      <c r="B156" s="7" t="s">
        <v>2642</v>
      </c>
    </row>
    <row r="157" spans="1:2" ht="26.4">
      <c r="A157" s="6" t="s">
        <v>2643</v>
      </c>
      <c r="B157" s="7" t="s">
        <v>2644</v>
      </c>
    </row>
    <row r="158" spans="1:2" ht="26.4">
      <c r="A158" s="6" t="s">
        <v>2645</v>
      </c>
      <c r="B158" s="7" t="s">
        <v>2646</v>
      </c>
    </row>
    <row r="159" spans="1:2">
      <c r="A159" s="6" t="s">
        <v>2647</v>
      </c>
      <c r="B159" s="7" t="s">
        <v>2648</v>
      </c>
    </row>
    <row r="160" spans="1:2" ht="26.4">
      <c r="A160" s="6" t="s">
        <v>2649</v>
      </c>
      <c r="B160" s="7" t="s">
        <v>2650</v>
      </c>
    </row>
    <row r="161" spans="1:2" ht="26.4">
      <c r="A161" s="6" t="s">
        <v>2651</v>
      </c>
      <c r="B161" s="7" t="s">
        <v>2652</v>
      </c>
    </row>
    <row r="162" spans="1:2" ht="26.4">
      <c r="A162" s="6" t="s">
        <v>2653</v>
      </c>
      <c r="B162" s="7" t="s">
        <v>2654</v>
      </c>
    </row>
    <row r="163" spans="1:2" ht="26.4">
      <c r="A163" s="6" t="s">
        <v>2655</v>
      </c>
      <c r="B163" s="7" t="s">
        <v>2656</v>
      </c>
    </row>
    <row r="164" spans="1:2" ht="26.4">
      <c r="A164" s="6" t="s">
        <v>2657</v>
      </c>
      <c r="B164" s="7" t="s">
        <v>2658</v>
      </c>
    </row>
    <row r="165" spans="1:2" ht="26.4">
      <c r="A165" s="6" t="s">
        <v>2659</v>
      </c>
      <c r="B165" s="7" t="s">
        <v>2660</v>
      </c>
    </row>
    <row r="166" spans="1:2">
      <c r="A166" s="6" t="s">
        <v>2661</v>
      </c>
      <c r="B166" s="7" t="s">
        <v>2662</v>
      </c>
    </row>
    <row r="167" spans="1:2" ht="26.4">
      <c r="A167" s="6" t="s">
        <v>2663</v>
      </c>
      <c r="B167" s="7" t="s">
        <v>2664</v>
      </c>
    </row>
    <row r="168" spans="1:2" ht="26.4">
      <c r="A168" s="6" t="s">
        <v>2665</v>
      </c>
      <c r="B168" s="7" t="s">
        <v>2666</v>
      </c>
    </row>
    <row r="169" spans="1:2" ht="26.4">
      <c r="A169" s="6" t="s">
        <v>2667</v>
      </c>
      <c r="B169" s="7" t="s">
        <v>2668</v>
      </c>
    </row>
    <row r="170" spans="1:2" ht="26.4">
      <c r="A170" s="6" t="s">
        <v>2669</v>
      </c>
      <c r="B170" s="7" t="s">
        <v>2670</v>
      </c>
    </row>
    <row r="171" spans="1:2">
      <c r="A171" s="6" t="s">
        <v>2671</v>
      </c>
      <c r="B171" s="7" t="s">
        <v>2672</v>
      </c>
    </row>
    <row r="172" spans="1:2">
      <c r="A172" s="6" t="s">
        <v>2040</v>
      </c>
      <c r="B172" s="7" t="s">
        <v>2673</v>
      </c>
    </row>
    <row r="173" spans="1:2">
      <c r="A173" s="6" t="s">
        <v>2674</v>
      </c>
      <c r="B173" s="7" t="s">
        <v>2675</v>
      </c>
    </row>
    <row r="174" spans="1:2" ht="26.4">
      <c r="A174" s="6" t="s">
        <v>2676</v>
      </c>
      <c r="B174" s="7" t="s">
        <v>2677</v>
      </c>
    </row>
    <row r="175" spans="1:2" ht="26.4">
      <c r="A175" s="6" t="s">
        <v>2678</v>
      </c>
      <c r="B175" s="7" t="s">
        <v>2679</v>
      </c>
    </row>
    <row r="176" spans="1:2" ht="26.4">
      <c r="A176" s="6" t="s">
        <v>2680</v>
      </c>
      <c r="B176" s="7" t="s">
        <v>2681</v>
      </c>
    </row>
    <row r="177" spans="1:2" ht="39.6">
      <c r="A177" s="6" t="s">
        <v>2682</v>
      </c>
      <c r="B177" s="7" t="s">
        <v>2683</v>
      </c>
    </row>
    <row r="178" spans="1:2" ht="26.4">
      <c r="A178" s="6" t="s">
        <v>2684</v>
      </c>
      <c r="B178" s="7" t="s">
        <v>2685</v>
      </c>
    </row>
    <row r="179" spans="1:2">
      <c r="A179" s="6" t="s">
        <v>2686</v>
      </c>
      <c r="B179" s="7" t="s">
        <v>2687</v>
      </c>
    </row>
    <row r="180" spans="1:2">
      <c r="A180" s="6" t="s">
        <v>2688</v>
      </c>
      <c r="B180" s="7" t="s">
        <v>2689</v>
      </c>
    </row>
    <row r="181" spans="1:2" ht="26.4">
      <c r="A181" s="6" t="s">
        <v>2690</v>
      </c>
      <c r="B181" s="7" t="s">
        <v>2691</v>
      </c>
    </row>
    <row r="182" spans="1:2" ht="26.4">
      <c r="A182" s="6" t="s">
        <v>2692</v>
      </c>
      <c r="B182" s="7" t="s">
        <v>2693</v>
      </c>
    </row>
    <row r="183" spans="1:2">
      <c r="A183" s="6" t="s">
        <v>2694</v>
      </c>
      <c r="B183" s="7" t="s">
        <v>2695</v>
      </c>
    </row>
    <row r="184" spans="1:2">
      <c r="A184" s="6" t="s">
        <v>2696</v>
      </c>
      <c r="B184" s="7" t="s">
        <v>2697</v>
      </c>
    </row>
    <row r="185" spans="1:2" ht="26.4">
      <c r="A185" s="6" t="s">
        <v>2698</v>
      </c>
      <c r="B185" s="7" t="s">
        <v>2699</v>
      </c>
    </row>
    <row r="186" spans="1:2" ht="26.4">
      <c r="A186" s="6" t="s">
        <v>2700</v>
      </c>
      <c r="B186" s="7" t="s">
        <v>2701</v>
      </c>
    </row>
    <row r="187" spans="1:2">
      <c r="A187" s="6" t="s">
        <v>2702</v>
      </c>
      <c r="B187" s="7" t="s">
        <v>2703</v>
      </c>
    </row>
    <row r="188" spans="1:2">
      <c r="A188" s="6" t="s">
        <v>2704</v>
      </c>
      <c r="B188" s="7" t="s">
        <v>2705</v>
      </c>
    </row>
    <row r="189" spans="1:2">
      <c r="A189" s="6" t="s">
        <v>2706</v>
      </c>
      <c r="B189" s="7" t="s">
        <v>2707</v>
      </c>
    </row>
    <row r="190" spans="1:2" ht="26.4">
      <c r="A190" s="6" t="s">
        <v>2708</v>
      </c>
      <c r="B190" s="7" t="s">
        <v>2709</v>
      </c>
    </row>
    <row r="191" spans="1:2" ht="26.4">
      <c r="A191" s="6" t="s">
        <v>2710</v>
      </c>
      <c r="B191" s="7" t="s">
        <v>2711</v>
      </c>
    </row>
    <row r="192" spans="1:2" ht="26.4">
      <c r="A192" s="6" t="s">
        <v>2712</v>
      </c>
      <c r="B192" s="7" t="s">
        <v>2713</v>
      </c>
    </row>
    <row r="193" spans="1:2" ht="39.6">
      <c r="A193" s="6" t="s">
        <v>2714</v>
      </c>
      <c r="B193" s="7" t="s">
        <v>2715</v>
      </c>
    </row>
    <row r="194" spans="1:2" ht="26.4">
      <c r="A194" s="6" t="s">
        <v>2716</v>
      </c>
      <c r="B194" s="7" t="s">
        <v>2717</v>
      </c>
    </row>
    <row r="195" spans="1:2" ht="26.4">
      <c r="A195" s="6" t="s">
        <v>2718</v>
      </c>
      <c r="B195" s="7" t="s">
        <v>2719</v>
      </c>
    </row>
    <row r="196" spans="1:2" ht="26.4">
      <c r="A196" s="6" t="s">
        <v>2720</v>
      </c>
      <c r="B196" s="7" t="s">
        <v>2721</v>
      </c>
    </row>
    <row r="197" spans="1:2">
      <c r="A197" s="6" t="s">
        <v>2722</v>
      </c>
      <c r="B197" s="7" t="s">
        <v>2723</v>
      </c>
    </row>
    <row r="198" spans="1:2">
      <c r="A198" s="6" t="s">
        <v>2724</v>
      </c>
      <c r="B198" s="7" t="s">
        <v>2725</v>
      </c>
    </row>
    <row r="199" spans="1:2" ht="26.4">
      <c r="A199" s="6" t="s">
        <v>2726</v>
      </c>
      <c r="B199" s="7" t="s">
        <v>2727</v>
      </c>
    </row>
    <row r="200" spans="1:2" ht="26.4">
      <c r="A200" s="6" t="s">
        <v>2728</v>
      </c>
      <c r="B200" s="7" t="s">
        <v>2729</v>
      </c>
    </row>
    <row r="201" spans="1:2" ht="26.4">
      <c r="A201" s="6" t="s">
        <v>2730</v>
      </c>
      <c r="B201" s="7" t="s">
        <v>2731</v>
      </c>
    </row>
    <row r="202" spans="1:2" ht="26.4">
      <c r="A202" s="6" t="s">
        <v>2732</v>
      </c>
      <c r="B202" s="7" t="s">
        <v>2733</v>
      </c>
    </row>
    <row r="203" spans="1:2">
      <c r="A203" s="6" t="s">
        <v>2734</v>
      </c>
      <c r="B203" s="7" t="s">
        <v>2735</v>
      </c>
    </row>
    <row r="204" spans="1:2" ht="26.4">
      <c r="A204" s="6" t="s">
        <v>2736</v>
      </c>
      <c r="B204" s="7" t="s">
        <v>2737</v>
      </c>
    </row>
    <row r="205" spans="1:2">
      <c r="A205" s="6" t="s">
        <v>2738</v>
      </c>
      <c r="B205" s="7" t="s">
        <v>2739</v>
      </c>
    </row>
    <row r="206" spans="1:2" ht="26.4">
      <c r="A206" s="6" t="s">
        <v>2740</v>
      </c>
      <c r="B206" s="7" t="s">
        <v>2741</v>
      </c>
    </row>
    <row r="207" spans="1:2" ht="26.4">
      <c r="A207" s="6" t="s">
        <v>2742</v>
      </c>
      <c r="B207" s="7" t="s">
        <v>2743</v>
      </c>
    </row>
    <row r="208" spans="1:2" ht="26.4">
      <c r="A208" s="6" t="s">
        <v>2744</v>
      </c>
      <c r="B208" s="7" t="s">
        <v>2745</v>
      </c>
    </row>
    <row r="209" spans="1:2" ht="26.4">
      <c r="A209" s="6" t="s">
        <v>2746</v>
      </c>
      <c r="B209" s="7" t="s">
        <v>2747</v>
      </c>
    </row>
    <row r="210" spans="1:2" ht="26.4">
      <c r="A210" s="6" t="s">
        <v>2748</v>
      </c>
      <c r="B210" s="7" t="s">
        <v>2749</v>
      </c>
    </row>
    <row r="211" spans="1:2" ht="26.4">
      <c r="A211" s="6" t="s">
        <v>2750</v>
      </c>
      <c r="B211" s="7" t="s">
        <v>2751</v>
      </c>
    </row>
    <row r="212" spans="1:2">
      <c r="A212" s="6" t="s">
        <v>2752</v>
      </c>
      <c r="B212" s="7" t="s">
        <v>2753</v>
      </c>
    </row>
    <row r="213" spans="1:2" ht="26.4">
      <c r="A213" s="6" t="s">
        <v>2754</v>
      </c>
      <c r="B213" s="7" t="s">
        <v>2755</v>
      </c>
    </row>
    <row r="214" spans="1:2">
      <c r="A214" s="6" t="s">
        <v>2756</v>
      </c>
      <c r="B214" s="7" t="s">
        <v>2757</v>
      </c>
    </row>
    <row r="215" spans="1:2">
      <c r="A215" s="6" t="s">
        <v>2758</v>
      </c>
      <c r="B215" s="7" t="s">
        <v>2759</v>
      </c>
    </row>
    <row r="216" spans="1:2">
      <c r="A216" s="6" t="s">
        <v>2760</v>
      </c>
      <c r="B216" s="7" t="s">
        <v>2761</v>
      </c>
    </row>
    <row r="217" spans="1:2">
      <c r="A217" s="6" t="s">
        <v>2762</v>
      </c>
      <c r="B217" s="7" t="s">
        <v>2763</v>
      </c>
    </row>
    <row r="218" spans="1:2" ht="26.4">
      <c r="A218" s="6" t="s">
        <v>2764</v>
      </c>
      <c r="B218" s="7" t="s">
        <v>2765</v>
      </c>
    </row>
    <row r="219" spans="1:2" ht="26.4">
      <c r="A219" s="6" t="s">
        <v>2766</v>
      </c>
      <c r="B219" s="7" t="s">
        <v>2767</v>
      </c>
    </row>
    <row r="220" spans="1:2">
      <c r="A220" s="6" t="s">
        <v>2768</v>
      </c>
      <c r="B220" s="7" t="s">
        <v>2769</v>
      </c>
    </row>
    <row r="221" spans="1:2" ht="26.4">
      <c r="A221" s="6" t="s">
        <v>2770</v>
      </c>
      <c r="B221" s="7" t="s">
        <v>2771</v>
      </c>
    </row>
    <row r="222" spans="1:2">
      <c r="A222" s="6" t="s">
        <v>2772</v>
      </c>
      <c r="B222" s="7" t="s">
        <v>2773</v>
      </c>
    </row>
    <row r="223" spans="1:2" ht="26.4">
      <c r="A223" s="6" t="s">
        <v>2774</v>
      </c>
      <c r="B223" s="7" t="s">
        <v>2775</v>
      </c>
    </row>
    <row r="224" spans="1:2" ht="26.4">
      <c r="A224" s="6" t="s">
        <v>2776</v>
      </c>
      <c r="B224" s="7" t="s">
        <v>2777</v>
      </c>
    </row>
    <row r="225" spans="1:2" ht="26.4">
      <c r="A225" s="6" t="s">
        <v>2778</v>
      </c>
      <c r="B225" s="7" t="s">
        <v>2779</v>
      </c>
    </row>
    <row r="226" spans="1:2">
      <c r="A226" s="6" t="s">
        <v>2780</v>
      </c>
      <c r="B226" s="7" t="s">
        <v>2781</v>
      </c>
    </row>
    <row r="227" spans="1:2" ht="26.4">
      <c r="A227" s="6" t="s">
        <v>2782</v>
      </c>
      <c r="B227" s="7" t="s">
        <v>2783</v>
      </c>
    </row>
    <row r="228" spans="1:2">
      <c r="A228" s="6" t="s">
        <v>2784</v>
      </c>
      <c r="B228" s="7" t="s">
        <v>2785</v>
      </c>
    </row>
    <row r="229" spans="1:2" ht="26.4">
      <c r="A229" s="6" t="s">
        <v>2786</v>
      </c>
      <c r="B229" s="7" t="s">
        <v>2787</v>
      </c>
    </row>
    <row r="230" spans="1:2" ht="26.4">
      <c r="A230" s="6" t="s">
        <v>2788</v>
      </c>
      <c r="B230" s="7" t="s">
        <v>2789</v>
      </c>
    </row>
    <row r="231" spans="1:2">
      <c r="A231" s="6" t="s">
        <v>2790</v>
      </c>
      <c r="B231" s="7" t="s">
        <v>2791</v>
      </c>
    </row>
    <row r="232" spans="1:2">
      <c r="A232" s="6" t="s">
        <v>2792</v>
      </c>
      <c r="B232" s="7" t="s">
        <v>2793</v>
      </c>
    </row>
    <row r="233" spans="1:2" ht="26.4">
      <c r="A233" s="6" t="s">
        <v>2794</v>
      </c>
      <c r="B233" s="7" t="s">
        <v>2795</v>
      </c>
    </row>
    <row r="234" spans="1:2" ht="26.4">
      <c r="A234" s="6" t="s">
        <v>2796</v>
      </c>
      <c r="B234" s="7" t="s">
        <v>2797</v>
      </c>
    </row>
    <row r="235" spans="1:2" ht="39.6">
      <c r="A235" s="6" t="s">
        <v>2798</v>
      </c>
      <c r="B235" s="7" t="s">
        <v>2799</v>
      </c>
    </row>
    <row r="236" spans="1:2" ht="26.4">
      <c r="A236" s="6" t="s">
        <v>2800</v>
      </c>
      <c r="B236" s="7" t="s">
        <v>2801</v>
      </c>
    </row>
    <row r="237" spans="1:2" ht="26.4">
      <c r="A237" s="6" t="s">
        <v>2802</v>
      </c>
      <c r="B237" s="7" t="s">
        <v>2803</v>
      </c>
    </row>
    <row r="238" spans="1:2" ht="26.4">
      <c r="A238" s="6" t="s">
        <v>2804</v>
      </c>
      <c r="B238" s="7" t="s">
        <v>2805</v>
      </c>
    </row>
    <row r="239" spans="1:2" ht="26.4">
      <c r="A239" s="6" t="s">
        <v>2806</v>
      </c>
      <c r="B239" s="7" t="s">
        <v>2807</v>
      </c>
    </row>
    <row r="240" spans="1:2" ht="26.4">
      <c r="A240" s="6" t="s">
        <v>2808</v>
      </c>
      <c r="B240" s="7" t="s">
        <v>2809</v>
      </c>
    </row>
    <row r="241" spans="1:2" ht="26.4">
      <c r="A241" s="6" t="s">
        <v>2810</v>
      </c>
      <c r="B241" s="7" t="s">
        <v>2811</v>
      </c>
    </row>
    <row r="242" spans="1:2" ht="26.4">
      <c r="A242" s="6" t="s">
        <v>2812</v>
      </c>
      <c r="B242" s="7" t="s">
        <v>2813</v>
      </c>
    </row>
    <row r="243" spans="1:2" ht="26.4">
      <c r="A243" s="6" t="s">
        <v>2814</v>
      </c>
      <c r="B243" s="7" t="s">
        <v>2815</v>
      </c>
    </row>
    <row r="244" spans="1:2">
      <c r="A244" s="6" t="s">
        <v>2816</v>
      </c>
      <c r="B244" s="7" t="s">
        <v>2817</v>
      </c>
    </row>
    <row r="245" spans="1:2" ht="26.4">
      <c r="A245" s="6" t="s">
        <v>2818</v>
      </c>
      <c r="B245" s="7" t="s">
        <v>2819</v>
      </c>
    </row>
    <row r="246" spans="1:2" ht="26.4">
      <c r="A246" s="6" t="s">
        <v>2820</v>
      </c>
      <c r="B246" s="7" t="s">
        <v>2821</v>
      </c>
    </row>
    <row r="247" spans="1:2" ht="26.4">
      <c r="A247" s="6" t="s">
        <v>2822</v>
      </c>
      <c r="B247" s="7" t="s">
        <v>2823</v>
      </c>
    </row>
    <row r="248" spans="1:2" ht="26.4">
      <c r="A248" s="6" t="s">
        <v>2824</v>
      </c>
      <c r="B248" s="7" t="s">
        <v>2825</v>
      </c>
    </row>
    <row r="249" spans="1:2">
      <c r="A249" s="6" t="s">
        <v>2826</v>
      </c>
      <c r="B249" s="7" t="s">
        <v>2827</v>
      </c>
    </row>
    <row r="250" spans="1:2">
      <c r="A250" s="6" t="s">
        <v>2828</v>
      </c>
      <c r="B250" s="7" t="s">
        <v>2829</v>
      </c>
    </row>
    <row r="251" spans="1:2" ht="26.4">
      <c r="A251" s="6" t="s">
        <v>2830</v>
      </c>
      <c r="B251" s="7" t="s">
        <v>2831</v>
      </c>
    </row>
    <row r="252" spans="1:2" ht="26.4">
      <c r="A252" s="6" t="s">
        <v>2832</v>
      </c>
      <c r="B252" s="7" t="s">
        <v>2833</v>
      </c>
    </row>
    <row r="253" spans="1:2">
      <c r="A253" s="6" t="s">
        <v>2834</v>
      </c>
      <c r="B253" s="7" t="s">
        <v>2835</v>
      </c>
    </row>
    <row r="254" spans="1:2" ht="26.4">
      <c r="A254" s="6" t="s">
        <v>2836</v>
      </c>
      <c r="B254" s="7" t="s">
        <v>2837</v>
      </c>
    </row>
    <row r="255" spans="1:2" ht="26.4">
      <c r="A255" s="6" t="s">
        <v>2838</v>
      </c>
      <c r="B255" s="7" t="s">
        <v>2839</v>
      </c>
    </row>
    <row r="256" spans="1:2" ht="26.4">
      <c r="A256" s="6" t="s">
        <v>2840</v>
      </c>
      <c r="B256" s="7" t="s">
        <v>2841</v>
      </c>
    </row>
    <row r="257" spans="1:2">
      <c r="A257" s="6" t="s">
        <v>2842</v>
      </c>
      <c r="B257" s="7" t="s">
        <v>2843</v>
      </c>
    </row>
    <row r="258" spans="1:2">
      <c r="A258" s="6" t="s">
        <v>2844</v>
      </c>
      <c r="B258" s="7" t="s">
        <v>2845</v>
      </c>
    </row>
    <row r="259" spans="1:2">
      <c r="A259" s="6" t="s">
        <v>2846</v>
      </c>
      <c r="B259" s="7" t="s">
        <v>2847</v>
      </c>
    </row>
    <row r="260" spans="1:2" ht="26.4">
      <c r="A260" s="6" t="s">
        <v>2848</v>
      </c>
      <c r="B260" s="7" t="s">
        <v>2849</v>
      </c>
    </row>
    <row r="261" spans="1:2" ht="26.4">
      <c r="A261" s="6" t="s">
        <v>2850</v>
      </c>
      <c r="B261" s="7" t="s">
        <v>2851</v>
      </c>
    </row>
    <row r="262" spans="1:2">
      <c r="A262" s="6" t="s">
        <v>2852</v>
      </c>
      <c r="B262" s="7" t="s">
        <v>2853</v>
      </c>
    </row>
    <row r="263" spans="1:2" ht="26.4">
      <c r="A263" s="6" t="s">
        <v>2854</v>
      </c>
      <c r="B263" s="7" t="s">
        <v>2855</v>
      </c>
    </row>
    <row r="264" spans="1:2">
      <c r="A264" s="6" t="s">
        <v>2856</v>
      </c>
      <c r="B264" s="7" t="s">
        <v>2857</v>
      </c>
    </row>
    <row r="265" spans="1:2" ht="26.4">
      <c r="A265" s="6" t="s">
        <v>2858</v>
      </c>
      <c r="B265" s="7" t="s">
        <v>2859</v>
      </c>
    </row>
    <row r="266" spans="1:2">
      <c r="A266" s="6" t="s">
        <v>2860</v>
      </c>
      <c r="B266" s="7" t="s">
        <v>2861</v>
      </c>
    </row>
    <row r="267" spans="1:2">
      <c r="A267" s="6" t="s">
        <v>2862</v>
      </c>
      <c r="B267" s="7" t="s">
        <v>2863</v>
      </c>
    </row>
    <row r="268" spans="1:2" ht="26.4">
      <c r="A268" s="6" t="s">
        <v>2864</v>
      </c>
      <c r="B268" s="7" t="s">
        <v>2865</v>
      </c>
    </row>
    <row r="269" spans="1:2" ht="26.4">
      <c r="A269" s="6" t="s">
        <v>2866</v>
      </c>
      <c r="B269" s="7" t="s">
        <v>2867</v>
      </c>
    </row>
    <row r="270" spans="1:2" ht="26.4">
      <c r="A270" s="6" t="s">
        <v>2868</v>
      </c>
      <c r="B270" s="7" t="s">
        <v>2869</v>
      </c>
    </row>
    <row r="271" spans="1:2" ht="26.4">
      <c r="A271" s="6" t="s">
        <v>2870</v>
      </c>
      <c r="B271" s="7" t="s">
        <v>2871</v>
      </c>
    </row>
    <row r="272" spans="1:2" ht="26.4">
      <c r="A272" s="6" t="s">
        <v>2872</v>
      </c>
      <c r="B272" s="7" t="s">
        <v>2873</v>
      </c>
    </row>
    <row r="273" spans="1:2" ht="26.4">
      <c r="A273" s="6" t="s">
        <v>2874</v>
      </c>
      <c r="B273" s="7" t="s">
        <v>2875</v>
      </c>
    </row>
    <row r="274" spans="1:2" ht="26.4">
      <c r="A274" s="6" t="s">
        <v>2876</v>
      </c>
      <c r="B274" s="7" t="s">
        <v>2877</v>
      </c>
    </row>
    <row r="275" spans="1:2">
      <c r="A275" s="6" t="s">
        <v>2878</v>
      </c>
      <c r="B275" s="7" t="s">
        <v>2879</v>
      </c>
    </row>
    <row r="276" spans="1:2" ht="26.4">
      <c r="A276" s="6" t="s">
        <v>2880</v>
      </c>
      <c r="B276" s="7" t="s">
        <v>2881</v>
      </c>
    </row>
    <row r="277" spans="1:2" ht="26.4">
      <c r="A277" s="6" t="s">
        <v>2882</v>
      </c>
      <c r="B277" s="7" t="s">
        <v>2883</v>
      </c>
    </row>
    <row r="278" spans="1:2">
      <c r="A278" s="6" t="s">
        <v>2884</v>
      </c>
      <c r="B278" s="7" t="s">
        <v>2885</v>
      </c>
    </row>
    <row r="279" spans="1:2">
      <c r="A279" s="6" t="s">
        <v>2886</v>
      </c>
      <c r="B279" s="7" t="s">
        <v>2887</v>
      </c>
    </row>
    <row r="280" spans="1:2" ht="26.4">
      <c r="A280" s="6" t="s">
        <v>2888</v>
      </c>
      <c r="B280" s="7" t="s">
        <v>2889</v>
      </c>
    </row>
    <row r="281" spans="1:2" ht="26.4">
      <c r="A281" s="6" t="s">
        <v>2890</v>
      </c>
      <c r="B281" s="7" t="s">
        <v>2891</v>
      </c>
    </row>
    <row r="282" spans="1:2" ht="26.4">
      <c r="A282" s="6" t="s">
        <v>2892</v>
      </c>
      <c r="B282" s="7" t="s">
        <v>2893</v>
      </c>
    </row>
    <row r="283" spans="1:2">
      <c r="A283" s="6" t="s">
        <v>807</v>
      </c>
      <c r="B283" s="7" t="s">
        <v>2894</v>
      </c>
    </row>
    <row r="284" spans="1:2" ht="26.4">
      <c r="A284" s="6" t="s">
        <v>2895</v>
      </c>
      <c r="B284" s="7" t="s">
        <v>2896</v>
      </c>
    </row>
    <row r="285" spans="1:2">
      <c r="A285" s="6" t="s">
        <v>2897</v>
      </c>
      <c r="B285" s="7" t="s">
        <v>2898</v>
      </c>
    </row>
    <row r="286" spans="1:2" ht="26.4">
      <c r="A286" s="6" t="s">
        <v>2899</v>
      </c>
      <c r="B286" s="7" t="s">
        <v>2900</v>
      </c>
    </row>
    <row r="287" spans="1:2" ht="26.4">
      <c r="A287" s="6" t="s">
        <v>2901</v>
      </c>
      <c r="B287" s="7" t="s">
        <v>2902</v>
      </c>
    </row>
    <row r="288" spans="1:2" ht="26.4">
      <c r="A288" s="6" t="s">
        <v>2903</v>
      </c>
      <c r="B288" s="7" t="s">
        <v>2904</v>
      </c>
    </row>
    <row r="289" spans="1:2">
      <c r="A289" s="6" t="s">
        <v>2905</v>
      </c>
      <c r="B289" s="7" t="s">
        <v>2906</v>
      </c>
    </row>
    <row r="290" spans="1:2" ht="26.4">
      <c r="A290" s="6" t="s">
        <v>2907</v>
      </c>
      <c r="B290" s="7" t="s">
        <v>2908</v>
      </c>
    </row>
    <row r="291" spans="1:2" ht="26.4">
      <c r="A291" s="6" t="s">
        <v>2909</v>
      </c>
      <c r="B291" s="7" t="s">
        <v>2910</v>
      </c>
    </row>
    <row r="292" spans="1:2" ht="26.4">
      <c r="A292" s="6" t="s">
        <v>2911</v>
      </c>
      <c r="B292" s="7" t="s">
        <v>2912</v>
      </c>
    </row>
    <row r="293" spans="1:2" ht="26.4">
      <c r="A293" s="6" t="s">
        <v>2913</v>
      </c>
      <c r="B293" s="7" t="s">
        <v>2914</v>
      </c>
    </row>
    <row r="294" spans="1:2" ht="26.4">
      <c r="A294" s="6" t="s">
        <v>2915</v>
      </c>
      <c r="B294" s="7" t="s">
        <v>2916</v>
      </c>
    </row>
    <row r="295" spans="1:2">
      <c r="A295" s="6" t="s">
        <v>2917</v>
      </c>
      <c r="B295" s="7" t="s">
        <v>2918</v>
      </c>
    </row>
    <row r="296" spans="1:2">
      <c r="A296" s="6" t="s">
        <v>2919</v>
      </c>
      <c r="B296" s="7" t="s">
        <v>2920</v>
      </c>
    </row>
    <row r="297" spans="1:2">
      <c r="A297" s="6" t="s">
        <v>2921</v>
      </c>
      <c r="B297" s="7" t="s">
        <v>2922</v>
      </c>
    </row>
    <row r="298" spans="1:2" ht="26.4">
      <c r="A298" s="6" t="s">
        <v>2923</v>
      </c>
      <c r="B298" s="7" t="s">
        <v>2924</v>
      </c>
    </row>
    <row r="299" spans="1:2" ht="26.4">
      <c r="A299" s="6" t="s">
        <v>2925</v>
      </c>
      <c r="B299" s="7" t="s">
        <v>2926</v>
      </c>
    </row>
    <row r="300" spans="1:2" ht="26.4">
      <c r="A300" s="6" t="s">
        <v>2927</v>
      </c>
      <c r="B300" s="7" t="s">
        <v>2928</v>
      </c>
    </row>
    <row r="301" spans="1:2" ht="26.4">
      <c r="A301" s="6" t="s">
        <v>2929</v>
      </c>
      <c r="B301" s="7" t="s">
        <v>2930</v>
      </c>
    </row>
    <row r="302" spans="1:2" ht="26.4">
      <c r="A302" s="6" t="s">
        <v>2931</v>
      </c>
      <c r="B302" s="7" t="s">
        <v>2932</v>
      </c>
    </row>
    <row r="303" spans="1:2" ht="26.4">
      <c r="A303" s="8" t="s">
        <v>2933</v>
      </c>
      <c r="B303" s="9" t="s">
        <v>2934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3F08F-A100-4563-BC22-0EBF5F3766C6}">
  <sheetPr codeName="Feuil1"/>
  <dimension ref="A1:F13"/>
  <sheetViews>
    <sheetView workbookViewId="0">
      <selection activeCell="F12" sqref="F12"/>
    </sheetView>
  </sheetViews>
  <sheetFormatPr baseColWidth="10" defaultRowHeight="14.4"/>
  <cols>
    <col min="1" max="1" width="36.21875" bestFit="1" customWidth="1"/>
    <col min="2" max="2" width="15" bestFit="1" customWidth="1"/>
    <col min="3" max="3" width="0" hidden="1" customWidth="1"/>
    <col min="4" max="4" width="14.6640625" bestFit="1" customWidth="1"/>
    <col min="5" max="5" width="10.5546875" bestFit="1" customWidth="1"/>
    <col min="6" max="6" width="17.5546875" bestFit="1" customWidth="1"/>
  </cols>
  <sheetData>
    <row r="1" spans="1:6" ht="15" thickBot="1">
      <c r="A1" s="12" t="s">
        <v>2935</v>
      </c>
      <c r="B1" s="13" t="str">
        <f>IF(AND(C2:C8),"Erreur !","Jours Chômés")</f>
        <v>Jours Chômés</v>
      </c>
      <c r="C1" s="14" t="s">
        <v>2936</v>
      </c>
      <c r="D1" s="15" t="s">
        <v>2937</v>
      </c>
      <c r="E1" s="28" t="s">
        <v>2948</v>
      </c>
      <c r="F1" s="28" t="s">
        <v>2949</v>
      </c>
    </row>
    <row r="2" spans="1:6" ht="15" thickBot="1">
      <c r="A2" s="16" t="str">
        <f ca="1">_xlfn.SWITCH(MONTH(A6),1,"Janvier",2,"Février",3,"Mars",4,"Avril",5,"Mai",6,"Juin",7,"Juillet",8,"Août",9,"Septembre",10,"Octobre",11,"Novembre",12,"Décembre")</f>
        <v>Décembre</v>
      </c>
      <c r="B2" s="17" t="s">
        <v>2938</v>
      </c>
      <c r="C2" s="18" t="b">
        <v>0</v>
      </c>
      <c r="D2" s="19" t="str">
        <f t="shared" ref="D2:D8" si="0">IF(C2,B2,"")</f>
        <v/>
      </c>
      <c r="E2" s="29">
        <f ca="1">DATE(A4,1,1)</f>
        <v>44927</v>
      </c>
      <c r="F2" s="30" t="str">
        <f>"Jour de l'an "&amp;D2</f>
        <v xml:space="preserve">Jour de l'an </v>
      </c>
    </row>
    <row r="3" spans="1:6" ht="15" thickBot="1">
      <c r="A3" s="12" t="s">
        <v>2959</v>
      </c>
      <c r="B3" s="17" t="s">
        <v>2939</v>
      </c>
      <c r="C3" s="18" t="b">
        <v>0</v>
      </c>
      <c r="D3" s="19" t="str">
        <f t="shared" si="0"/>
        <v/>
      </c>
      <c r="E3" s="29">
        <f ca="1">DATE(A4,3,29.56+0.979*MOD(204-11*MOD(A4,19),30)-WEEKDAY(DATE(A4,3,28.56+0.979*MOD(204-11*MOD(A4,19),30))))+1</f>
        <v>45026</v>
      </c>
      <c r="F3" s="30" t="s">
        <v>2950</v>
      </c>
    </row>
    <row r="4" spans="1:6" ht="15" thickBot="1">
      <c r="A4" s="16">
        <f ca="1">YEAR(A6)</f>
        <v>2023</v>
      </c>
      <c r="B4" s="17" t="s">
        <v>2940</v>
      </c>
      <c r="C4" s="18" t="b">
        <f>FALSE()</f>
        <v>0</v>
      </c>
      <c r="D4" s="19" t="str">
        <f t="shared" si="0"/>
        <v/>
      </c>
      <c r="E4" s="29">
        <f ca="1">DATE(A4,5,1)</f>
        <v>45047</v>
      </c>
      <c r="F4" s="30" t="s">
        <v>2951</v>
      </c>
    </row>
    <row r="5" spans="1:6" ht="15" thickBot="1">
      <c r="A5" s="12" t="s">
        <v>2941</v>
      </c>
      <c r="B5" s="20" t="s">
        <v>2942</v>
      </c>
      <c r="C5" s="21" t="b">
        <f>FALSE()</f>
        <v>0</v>
      </c>
      <c r="D5" s="22" t="str">
        <f t="shared" si="0"/>
        <v/>
      </c>
      <c r="E5" s="29">
        <f ca="1">DATE(A4,3,29.56+0.979*MOD(204-11*MOD(A4,19),30)-WEEKDAY(DATE(A4,3,28.56+0.979*MOD(204-11*MOD(A4,19),30))))+1+38</f>
        <v>45064</v>
      </c>
      <c r="F5" s="30" t="s">
        <v>2952</v>
      </c>
    </row>
    <row r="6" spans="1:6" ht="15" thickBot="1">
      <c r="A6" s="23">
        <f ca="1">TODAY()</f>
        <v>45269</v>
      </c>
      <c r="B6" s="20" t="s">
        <v>2943</v>
      </c>
      <c r="C6" s="21" t="b">
        <v>0</v>
      </c>
      <c r="D6" s="22" t="str">
        <f t="shared" si="0"/>
        <v/>
      </c>
      <c r="E6" s="29">
        <f ca="1">DATE(A4,5,8)</f>
        <v>45054</v>
      </c>
      <c r="F6" s="31" t="s">
        <v>2953</v>
      </c>
    </row>
    <row r="7" spans="1:6">
      <c r="A7" s="24"/>
      <c r="B7" s="25" t="s">
        <v>2944</v>
      </c>
      <c r="C7" s="26" t="b">
        <f>TRUE()</f>
        <v>1</v>
      </c>
      <c r="D7" s="19" t="str">
        <f t="shared" si="0"/>
        <v>Samedi</v>
      </c>
      <c r="E7" s="29">
        <f ca="1">DATE(A4,3,29.56+0.979*MOD(204-11*MOD(A4,19),30)-WEEKDAY(DATE(A4,3,28.56+0.979*MOD(204-11*MOD(A4,19),30))))+1+49</f>
        <v>45075</v>
      </c>
      <c r="F7" s="30" t="s">
        <v>2954</v>
      </c>
    </row>
    <row r="8" spans="1:6">
      <c r="A8" s="27"/>
      <c r="B8" s="25" t="s">
        <v>2945</v>
      </c>
      <c r="C8" s="26" t="b">
        <f>TRUE()</f>
        <v>1</v>
      </c>
      <c r="D8" s="19" t="str">
        <f t="shared" si="0"/>
        <v>Dimanche</v>
      </c>
      <c r="E8" s="29">
        <f ca="1">DATE(A4,7,14)</f>
        <v>45121</v>
      </c>
      <c r="F8" s="30" t="s">
        <v>2955</v>
      </c>
    </row>
    <row r="9" spans="1:6">
      <c r="A9" s="27"/>
      <c r="B9" s="27"/>
      <c r="C9" s="18" t="s">
        <v>2946</v>
      </c>
      <c r="D9" s="18">
        <f ca="1">MONTH(1&amp;A2)</f>
        <v>12</v>
      </c>
      <c r="E9" s="29">
        <f ca="1">DATE(A4,8,15)</f>
        <v>45153</v>
      </c>
      <c r="F9" s="30" t="s">
        <v>2956</v>
      </c>
    </row>
    <row r="10" spans="1:6">
      <c r="A10" s="27"/>
      <c r="B10" s="27"/>
      <c r="C10" s="26" t="s">
        <v>2947</v>
      </c>
      <c r="D10" s="18">
        <f ca="1">INT((TODAY()-LOOKUP(TODAY(),DATE(YEAR(TODAY())+{-1;0;1},1,3)-WEEKDAY(DATE(YEAR(TODAY())+{-1;0;1},1,3))+2))/7)+1</f>
        <v>49</v>
      </c>
      <c r="E10" s="29">
        <f ca="1">DATE(A4,11,1)</f>
        <v>45231</v>
      </c>
      <c r="F10" s="30" t="s">
        <v>2957</v>
      </c>
    </row>
    <row r="11" spans="1:6">
      <c r="E11" s="29">
        <f ca="1">DATE(A4,11,11)</f>
        <v>45241</v>
      </c>
      <c r="F11" s="30" t="str">
        <f>"Armistice "&amp;D11</f>
        <v xml:space="preserve">Armistice </v>
      </c>
    </row>
    <row r="12" spans="1:6">
      <c r="E12" s="29">
        <f ca="1">DATE(A4,12,25)</f>
        <v>45285</v>
      </c>
      <c r="F12" s="30" t="s">
        <v>2958</v>
      </c>
    </row>
    <row r="13" spans="1:6">
      <c r="E13" s="29" t="str">
        <f ca="1">"01/01/"&amp;A4+1</f>
        <v>01/01/2024</v>
      </c>
      <c r="F13" s="32" t="str">
        <f ca="1">"Jour de l'an "&amp;A4+1</f>
        <v>Jour de l'an 2024</v>
      </c>
    </row>
  </sheetData>
  <conditionalFormatting sqref="B1">
    <cfRule type="expression" dxfId="58" priority="1">
      <formula>AND(B1="Erreur !")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 altText="Check Box 2">
                <anchor moveWithCells="1">
                  <from>
                    <xdr:col>1</xdr:col>
                    <xdr:colOff>617220</xdr:colOff>
                    <xdr:row>1</xdr:row>
                    <xdr:rowOff>144780</xdr:rowOff>
                  </from>
                  <to>
                    <xdr:col>3</xdr:col>
                    <xdr:colOff>68580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altText="Check Box 3">
                <anchor moveWithCells="1">
                  <from>
                    <xdr:col>1</xdr:col>
                    <xdr:colOff>617220</xdr:colOff>
                    <xdr:row>2</xdr:row>
                    <xdr:rowOff>144780</xdr:rowOff>
                  </from>
                  <to>
                    <xdr:col>3</xdr:col>
                    <xdr:colOff>68580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altText="Check Box 4">
                <anchor moveWithCells="1">
                  <from>
                    <xdr:col>1</xdr:col>
                    <xdr:colOff>617220</xdr:colOff>
                    <xdr:row>3</xdr:row>
                    <xdr:rowOff>144780</xdr:rowOff>
                  </from>
                  <to>
                    <xdr:col>3</xdr:col>
                    <xdr:colOff>68580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altText="Check Box 5">
                <anchor moveWithCells="1">
                  <from>
                    <xdr:col>1</xdr:col>
                    <xdr:colOff>617220</xdr:colOff>
                    <xdr:row>4</xdr:row>
                    <xdr:rowOff>137160</xdr:rowOff>
                  </from>
                  <to>
                    <xdr:col>3</xdr:col>
                    <xdr:colOff>68580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altText="Check Box 6">
                <anchor moveWithCells="1">
                  <from>
                    <xdr:col>1</xdr:col>
                    <xdr:colOff>617220</xdr:colOff>
                    <xdr:row>5</xdr:row>
                    <xdr:rowOff>137160</xdr:rowOff>
                  </from>
                  <to>
                    <xdr:col>3</xdr:col>
                    <xdr:colOff>68580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altText="Check Box 7">
                <anchor moveWithCells="1">
                  <from>
                    <xdr:col>1</xdr:col>
                    <xdr:colOff>617220</xdr:colOff>
                    <xdr:row>6</xdr:row>
                    <xdr:rowOff>137160</xdr:rowOff>
                  </from>
                  <to>
                    <xdr:col>3</xdr:col>
                    <xdr:colOff>68580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Check Box 2">
                <anchor moveWithCells="1">
                  <from>
                    <xdr:col>1</xdr:col>
                    <xdr:colOff>624840</xdr:colOff>
                    <xdr:row>0</xdr:row>
                    <xdr:rowOff>160020</xdr:rowOff>
                  </from>
                  <to>
                    <xdr:col>3</xdr:col>
                    <xdr:colOff>76200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5E83D-CC6C-4319-842A-80B7427BA545}">
  <sheetPr codeName="Feuil12">
    <pageSetUpPr fitToPage="1"/>
  </sheetPr>
  <dimension ref="A1:BN34"/>
  <sheetViews>
    <sheetView showGridLines="0" tabSelected="1" zoomScale="85" zoomScaleNormal="85" workbookViewId="0">
      <selection activeCell="W8" sqref="W8"/>
    </sheetView>
  </sheetViews>
  <sheetFormatPr baseColWidth="10" defaultColWidth="0" defaultRowHeight="0" customHeight="1" zeroHeight="1"/>
  <cols>
    <col min="1" max="1" width="4.33203125" style="36" customWidth="1"/>
    <col min="2" max="2" width="2.88671875" style="36" customWidth="1"/>
    <col min="3" max="5" width="20.44140625" style="36" customWidth="1"/>
    <col min="6" max="6" width="0.6640625" style="36" customWidth="1"/>
    <col min="7" max="7" width="4.33203125" style="36" customWidth="1"/>
    <col min="8" max="8" width="2.88671875" style="36" customWidth="1"/>
    <col min="9" max="11" width="20.44140625" style="36" customWidth="1"/>
    <col min="12" max="12" width="0.6640625" style="36" customWidth="1"/>
    <col min="13" max="13" width="4.33203125" style="65" customWidth="1"/>
    <col min="14" max="14" width="2.88671875" style="36" customWidth="1"/>
    <col min="15" max="16" width="20.44140625" style="36" customWidth="1"/>
    <col min="17" max="17" width="20.44140625" style="66" customWidth="1"/>
    <col min="18" max="18" width="10.6640625" style="36" customWidth="1"/>
    <col min="19" max="19" width="0.6640625" style="36" customWidth="1"/>
    <col min="20" max="20" width="4.33203125" style="36" customWidth="1"/>
    <col min="21" max="22" width="2.88671875" style="36" customWidth="1"/>
    <col min="23" max="23" width="10.6640625" style="36" customWidth="1"/>
    <col min="24" max="24" width="0.6640625" style="36" customWidth="1"/>
    <col min="25" max="25" width="4.33203125" style="36" customWidth="1"/>
    <col min="26" max="26" width="2.88671875" style="36" customWidth="1"/>
    <col min="27" max="27" width="10.6640625" style="36" customWidth="1"/>
    <col min="28" max="28" width="0.6640625" style="36" customWidth="1"/>
    <col min="29" max="29" width="4.33203125" style="36" customWidth="1"/>
    <col min="30" max="30" width="2.88671875" style="36" customWidth="1"/>
    <col min="31" max="31" width="10.6640625" style="36" customWidth="1"/>
    <col min="32" max="32" width="0.6640625" style="36" customWidth="1"/>
    <col min="33" max="33" width="4.33203125" style="36" customWidth="1"/>
    <col min="34" max="34" width="2.88671875" style="36" customWidth="1"/>
    <col min="35" max="35" width="29.109375" style="36" customWidth="1"/>
    <col min="36" max="36" width="0.109375" style="36" customWidth="1"/>
    <col min="37" max="58" width="11.5546875" style="36" hidden="1" customWidth="1"/>
    <col min="59" max="66" width="11.5546875" style="36" hidden="1"/>
    <col min="67" max="16384" width="11.44140625" style="36" hidden="1"/>
  </cols>
  <sheetData>
    <row r="1" spans="1:35" ht="30" customHeight="1" thickBot="1">
      <c r="A1" s="33" t="s">
        <v>2960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</row>
    <row r="2" spans="1:35" ht="27" customHeight="1" thickBot="1">
      <c r="A2" s="37" t="str">
        <f ca="1">UPPER(TEXT(DATE(Système!A4,MONTH(1&amp;Système!A2)-1,1),"MMMM AAAA"))</f>
        <v>NOVEMBRE 2023</v>
      </c>
      <c r="B2" s="37"/>
      <c r="C2" s="37"/>
      <c r="D2" s="37"/>
      <c r="E2" s="37"/>
      <c r="F2" s="38"/>
      <c r="G2" s="39" t="str">
        <f ca="1">UPPER(TEXT(DATE(Système!A4,MONTH(1&amp;Système!A2),1),"MMMM AAAA"))</f>
        <v>DÉCEMBRE 2023</v>
      </c>
      <c r="H2" s="39"/>
      <c r="I2" s="39"/>
      <c r="J2" s="39"/>
      <c r="K2" s="39"/>
      <c r="L2" s="40"/>
      <c r="M2" s="37" t="str">
        <f ca="1">UPPER(TEXT(DATE(Système!A4,MONTH(1&amp;Système!A2)+1,1),"MMMM AAAA"))</f>
        <v>JANVIER 2024</v>
      </c>
      <c r="N2" s="41"/>
      <c r="O2" s="41"/>
      <c r="P2" s="41"/>
      <c r="Q2" s="39"/>
    </row>
    <row r="3" spans="1:35" ht="27" customHeight="1" thickBot="1">
      <c r="A3" s="39" t="s">
        <v>2961</v>
      </c>
      <c r="B3" s="39"/>
      <c r="C3" s="42" t="s">
        <v>2962</v>
      </c>
      <c r="D3" s="43" t="s">
        <v>2963</v>
      </c>
      <c r="E3" s="44" t="s">
        <v>2964</v>
      </c>
      <c r="F3" s="38"/>
      <c r="G3" s="39" t="s">
        <v>2961</v>
      </c>
      <c r="H3" s="39"/>
      <c r="I3" s="42" t="s">
        <v>2962</v>
      </c>
      <c r="J3" s="43" t="s">
        <v>2963</v>
      </c>
      <c r="K3" s="44" t="s">
        <v>2964</v>
      </c>
      <c r="L3" s="40"/>
      <c r="M3" s="45" t="s">
        <v>2961</v>
      </c>
      <c r="N3" s="39"/>
      <c r="O3" s="42" t="s">
        <v>2962</v>
      </c>
      <c r="P3" s="43" t="s">
        <v>2963</v>
      </c>
      <c r="Q3" s="44" t="s">
        <v>2964</v>
      </c>
    </row>
    <row r="4" spans="1:35" ht="27" customHeight="1">
      <c r="A4" s="46" t="str">
        <f t="shared" ref="A4:A34" ca="1" si="0">UPPER(TEXT(B4,"jjj"))</f>
        <v>MER</v>
      </c>
      <c r="B4" s="47">
        <f ca="1">DATE(Système!A4,MONTH(1&amp;Système!A2)-1,1)</f>
        <v>45231</v>
      </c>
      <c r="C4" s="48" t="str">
        <f>IFERROR(IF(WEEKDAY(#REF!,2)=1,INT((#REF!-LOOKUP(#REF!,DATE(Système!a4nee(#REF!)+{-1;0;1},1,3)-WEEKDAY(DATE(Système!a4nee(#REF!)+{-1;0;1},1,3))+2))/7)+1,""),"")</f>
        <v/>
      </c>
      <c r="D4" s="48" t="str">
        <f>IFERROR(IF(WEEKDAY(#REF!,2)=1,INT((#REF!-LOOKUP(#REF!,DATE(Système!a4nee(#REF!)+{-1;0;1},1,3)-WEEKDAY(DATE(Système!a4nee(#REF!)+{-1;0;1},1,3))+2))/7)+1,""),"")</f>
        <v/>
      </c>
      <c r="E4" s="49" t="str">
        <f ca="1">IFERROR(IF(WEEKDAY(B4,2)=1,INT((B4-LOOKUP(B4,DATE(Système!a4nee(B4)+{-1;0;1},1,3)-WEEKDAY(DATE(Système!a4nee(B4)+{-1;0;1},1,3))+2))/7)+1,""),"")</f>
        <v/>
      </c>
      <c r="F4" s="50"/>
      <c r="G4" s="51" t="str">
        <f t="shared" ref="G4:G34" ca="1" si="1">UPPER(TEXT(H4,"jjj"))</f>
        <v>VEN</v>
      </c>
      <c r="H4" s="47">
        <f ca="1">DATE(Système!A4,MONTH(1&amp;Système!A2),1)</f>
        <v>45261</v>
      </c>
      <c r="I4" s="48" t="str">
        <f>IFERROR(IF(WEEKDAY(#REF!,2)=1,INT((#REF!-LOOKUP(#REF!,DATE(Système!a4nee(#REF!)+{-1;0;1},1,3)-WEEKDAY(DATE(Système!a4nee(#REF!)+{-1;0;1},1,3))+2))/7)+1,""),"")</f>
        <v/>
      </c>
      <c r="J4" s="48" t="str">
        <f>IFERROR(IF(WEEKDAY(#REF!,2)=1,INT((#REF!-LOOKUP(#REF!,DATE(Système!a4nee(#REF!)+{-1;0;1},1,3)-WEEKDAY(DATE(Système!a4nee(#REF!)+{-1;0;1},1,3))+2))/7)+1,""),"")</f>
        <v/>
      </c>
      <c r="K4" s="48" t="str">
        <f ca="1">IFERROR(IF(WEEKDAY(H4,2)=1,INT((H4-LOOKUP(H4,DATE(Système!a4nee(H4)+{-1;0;1},1,3)-WEEKDAY(DATE(Système!a4nee(H4)+{-1;0;1},1,3))+2))/7)+1,""),"")</f>
        <v/>
      </c>
      <c r="L4" s="52"/>
      <c r="M4" s="46" t="str">
        <f t="shared" ref="M4:M34" ca="1" si="2">UPPER(TEXT(N4,"jjj"))</f>
        <v>LUN</v>
      </c>
      <c r="N4" s="47">
        <f ca="1">DATE(Système!A4,MONTH(1&amp;Système!A2)+1,1)</f>
        <v>45292</v>
      </c>
      <c r="O4" s="48" t="str">
        <f>IFERROR(IF(WEEKDAY(#REF!,2)=1,INT((#REF!-LOOKUP(#REF!,DATE(Système!a4nee(#REF!)+{-1;0;1},1,3)-WEEKDAY(DATE(Système!a4nee(#REF!)+{-1;0;1},1,3))+2))/7)+1,""),"")</f>
        <v/>
      </c>
      <c r="P4" s="48" t="str">
        <f>IFERROR(IF(WEEKDAY(#REF!,2)=1,INT((#REF!-LOOKUP(#REF!,DATE(Système!a4nee(#REF!)+{-1;0;1},1,3)-WEEKDAY(DATE(Système!a4nee(#REF!)+{-1;0;1},1,3))+2))/7)+1,""),"")</f>
        <v/>
      </c>
      <c r="Q4" s="48" t="str">
        <f ca="1">IFERROR(IF(WEEKDAY(N4,2)=1,INT((N4-LOOKUP(N4,DATE(Système!a4nee(N4)+{-1;0;1},1,3)-WEEKDAY(DATE(Système!a4nee(N4)+{-1;0;1},1,3))+2))/7)+1,""),"")</f>
        <v/>
      </c>
    </row>
    <row r="5" spans="1:35" ht="27" customHeight="1">
      <c r="A5" s="53" t="str">
        <f t="shared" ca="1" si="0"/>
        <v>JEU</v>
      </c>
      <c r="B5" s="54">
        <f t="shared" ref="B5:B31" ca="1" si="3">B4+1</f>
        <v>45232</v>
      </c>
      <c r="C5" s="55"/>
      <c r="D5" s="55"/>
      <c r="E5" s="56" t="str">
        <f ca="1">IF(EOMONTH(NOW(),0)&lt;&gt;EOMONTH(Système!A6,0),#REF!, "")</f>
        <v/>
      </c>
      <c r="F5" s="50"/>
      <c r="G5" s="57" t="str">
        <f t="shared" ca="1" si="1"/>
        <v>SAM</v>
      </c>
      <c r="H5" s="54">
        <f t="shared" ref="H5:H31" ca="1" si="4">H4+1</f>
        <v>45262</v>
      </c>
      <c r="I5" s="55"/>
      <c r="J5" s="55"/>
      <c r="K5" s="55"/>
      <c r="L5" s="52"/>
      <c r="M5" s="53" t="str">
        <f t="shared" ca="1" si="2"/>
        <v>MAR</v>
      </c>
      <c r="N5" s="54">
        <f t="shared" ref="N5:N31" ca="1" si="5">N4+1</f>
        <v>45293</v>
      </c>
      <c r="O5" s="55"/>
      <c r="P5" s="55"/>
      <c r="Q5" s="55"/>
    </row>
    <row r="6" spans="1:35" ht="27" customHeight="1">
      <c r="A6" s="53" t="str">
        <f t="shared" ca="1" si="0"/>
        <v>VEN</v>
      </c>
      <c r="B6" s="54">
        <f t="shared" ca="1" si="3"/>
        <v>45233</v>
      </c>
      <c r="C6" s="55"/>
      <c r="D6" s="55"/>
      <c r="E6" s="56" t="str">
        <f ca="1">IF(EOMONTH(NOW(),0)=EOMONTH(Système!$A$4,0),#REF!, "")</f>
        <v/>
      </c>
      <c r="F6" s="50"/>
      <c r="G6" s="57" t="str">
        <f t="shared" ca="1" si="1"/>
        <v>DIM</v>
      </c>
      <c r="H6" s="54">
        <f t="shared" ca="1" si="4"/>
        <v>45263</v>
      </c>
      <c r="I6" s="55"/>
      <c r="J6" s="55"/>
      <c r="K6" s="55"/>
      <c r="L6" s="52"/>
      <c r="M6" s="53" t="str">
        <f t="shared" ca="1" si="2"/>
        <v>MER</v>
      </c>
      <c r="N6" s="54">
        <f t="shared" ca="1" si="5"/>
        <v>45294</v>
      </c>
      <c r="O6" s="55"/>
      <c r="P6" s="55"/>
      <c r="Q6" s="55"/>
    </row>
    <row r="7" spans="1:35" ht="27" customHeight="1">
      <c r="A7" s="53" t="str">
        <f t="shared" ca="1" si="0"/>
        <v>SAM</v>
      </c>
      <c r="B7" s="54">
        <f t="shared" ca="1" si="3"/>
        <v>45234</v>
      </c>
      <c r="C7" s="55" t="str">
        <f>IFERROR(IF(WEEKDAY(#REF!,2)=1,INT((#REF!-LOOKUP(#REF!,DATE(Système!a4nee(#REF!)+{-1;0;1},1,3)-WEEKDAY(DATE(Système!a4nee(#REF!)+{-1;0;1},1,3))+2))/7)+1,""),"")</f>
        <v/>
      </c>
      <c r="D7" s="55" t="str">
        <f>IFERROR(IF(WEEKDAY(#REF!,2)=1,INT((#REF!-LOOKUP(#REF!,DATE(Système!a4nee(#REF!)+{-1;0;1},1,3)-WEEKDAY(DATE(Système!a4nee(#REF!)+{-1;0;1},1,3))+2))/7)+1,""),"")</f>
        <v/>
      </c>
      <c r="E7" s="56" t="str">
        <f ca="1">IFERROR(IF(WEEKDAY(B7,2)=1,INT((B7-LOOKUP(B7,DATE(Système!a4nee(B7)+{-1;0;1},1,3)-WEEKDAY(DATE(Système!a4nee(B7)+{-1;0;1},1,3))+2))/7)+1,""),"")</f>
        <v/>
      </c>
      <c r="F7" s="50"/>
      <c r="G7" s="57" t="str">
        <f t="shared" ca="1" si="1"/>
        <v>LUN</v>
      </c>
      <c r="H7" s="54">
        <f t="shared" ca="1" si="4"/>
        <v>45264</v>
      </c>
      <c r="I7" s="55" t="str">
        <f>IFERROR(IF(WEEKDAY(#REF!,2)=1,INT((#REF!-LOOKUP(#REF!,DATE(Système!a4nee(#REF!)+{-1;0;1},1,3)-WEEKDAY(DATE(Système!a4nee(#REF!)+{-1;0;1},1,3))+2))/7)+1,""),"")</f>
        <v/>
      </c>
      <c r="J7" s="55" t="str">
        <f>IFERROR(IF(WEEKDAY(#REF!,2)=1,INT((#REF!-LOOKUP(#REF!,DATE(Système!a4nee(#REF!)+{-1;0;1},1,3)-WEEKDAY(DATE(Système!a4nee(#REF!)+{-1;0;1},1,3))+2))/7)+1,""),"")</f>
        <v/>
      </c>
      <c r="K7" s="55" t="str">
        <f ca="1">IFERROR(IF(WEEKDAY(H7,2)=1,INT((H7-LOOKUP(H7,DATE(Système!a4nee(H7)+{-1;0;1},1,3)-WEEKDAY(DATE(Système!a4nee(H7)+{-1;0;1},1,3))+2))/7)+1,""),"")</f>
        <v/>
      </c>
      <c r="L7" s="52"/>
      <c r="M7" s="53" t="str">
        <f t="shared" ca="1" si="2"/>
        <v>JEU</v>
      </c>
      <c r="N7" s="54">
        <f t="shared" ca="1" si="5"/>
        <v>45295</v>
      </c>
      <c r="O7" s="55" t="str">
        <f>IFERROR(IF(WEEKDAY(#REF!,2)=1,INT((#REF!-LOOKUP(#REF!,DATE(Système!a4nee(#REF!)+{-1;0;1},1,3)-WEEKDAY(DATE(Système!a4nee(#REF!)+{-1;0;1},1,3))+2))/7)+1,""),"")</f>
        <v/>
      </c>
      <c r="P7" s="55" t="str">
        <f>IFERROR(IF(WEEKDAY(#REF!,2)=1,INT((#REF!-LOOKUP(#REF!,DATE(Système!a4nee(#REF!)+{-1;0;1},1,3)-WEEKDAY(DATE(Système!a4nee(#REF!)+{-1;0;1},1,3))+2))/7)+1,""),"")</f>
        <v/>
      </c>
      <c r="Q7" s="55" t="str">
        <f ca="1">IFERROR(IF(WEEKDAY(N7,2)=1,INT((N7-LOOKUP(N7,DATE(Système!a4nee(N7)+{-1;0;1},1,3)-WEEKDAY(DATE(Système!a4nee(N7)+{-1;0;1},1,3))+2))/7)+1,""),"")</f>
        <v/>
      </c>
      <c r="W7" s="90"/>
    </row>
    <row r="8" spans="1:35" ht="27" customHeight="1">
      <c r="A8" s="53" t="str">
        <f t="shared" ca="1" si="0"/>
        <v>DIM</v>
      </c>
      <c r="B8" s="54">
        <f t="shared" ca="1" si="3"/>
        <v>45235</v>
      </c>
      <c r="C8" s="55" t="str">
        <f>IFERROR(IF(WEEKDAY(#REF!,2)=1,INT((#REF!-LOOKUP(#REF!,DATE(Système!a4nee(#REF!)+{-1;0;1},1,3)-WEEKDAY(DATE(Système!a4nee(#REF!)+{-1;0;1},1,3))+2))/7)+1,""),"")</f>
        <v/>
      </c>
      <c r="D8" s="55" t="str">
        <f>IFERROR(IF(WEEKDAY(#REF!,2)=1,INT((#REF!-LOOKUP(#REF!,DATE(Système!a4nee(#REF!)+{-1;0;1},1,3)-WEEKDAY(DATE(Système!a4nee(#REF!)+{-1;0;1},1,3))+2))/7)+1,""),"")</f>
        <v/>
      </c>
      <c r="E8" s="56" t="str">
        <f ca="1">IFERROR(IF(WEEKDAY(B8,2)=1,INT((B8-LOOKUP(B8,DATE(Système!a4nee(B8)+{-1;0;1},1,3)-WEEKDAY(DATE(Système!a4nee(B8)+{-1;0;1},1,3))+2))/7)+1,""),"")</f>
        <v/>
      </c>
      <c r="F8" s="50"/>
      <c r="G8" s="57" t="str">
        <f t="shared" ca="1" si="1"/>
        <v>MAR</v>
      </c>
      <c r="H8" s="54">
        <f t="shared" ca="1" si="4"/>
        <v>45265</v>
      </c>
      <c r="I8" s="55" t="str">
        <f>IFERROR(IF(WEEKDAY(#REF!,2)=1,INT((#REF!-LOOKUP(#REF!,DATE(Système!a4nee(#REF!)+{-1;0;1},1,3)-WEEKDAY(DATE(Système!a4nee(#REF!)+{-1;0;1},1,3))+2))/7)+1,""),"")</f>
        <v/>
      </c>
      <c r="J8" s="55" t="str">
        <f>IFERROR(IF(WEEKDAY(#REF!,2)=1,INT((#REF!-LOOKUP(#REF!,DATE(Système!a4nee(#REF!)+{-1;0;1},1,3)-WEEKDAY(DATE(Système!a4nee(#REF!)+{-1;0;1},1,3))+2))/7)+1,""),"")</f>
        <v/>
      </c>
      <c r="K8" s="55" t="str">
        <f ca="1">IFERROR(IF(WEEKDAY(H8,2)=1,INT((H8-LOOKUP(H8,DATE(Système!a4nee(H8)+{-1;0;1},1,3)-WEEKDAY(DATE(Système!a4nee(H8)+{-1;0;1},1,3))+2))/7)+1,""),"")</f>
        <v/>
      </c>
      <c r="L8" s="52"/>
      <c r="M8" s="53" t="str">
        <f t="shared" ca="1" si="2"/>
        <v>VEN</v>
      </c>
      <c r="N8" s="54">
        <f t="shared" ca="1" si="5"/>
        <v>45296</v>
      </c>
      <c r="O8" s="55" t="str">
        <f>IFERROR(IF(WEEKDAY(#REF!,2)=1,INT((#REF!-LOOKUP(#REF!,DATE(Système!a4nee(#REF!)+{-1;0;1},1,3)-WEEKDAY(DATE(Système!a4nee(#REF!)+{-1;0;1},1,3))+2))/7)+1,""),"")</f>
        <v/>
      </c>
      <c r="P8" s="55" t="str">
        <f>IFERROR(IF(WEEKDAY(#REF!,2)=1,INT((#REF!-LOOKUP(#REF!,DATE(Système!a4nee(#REF!)+{-1;0;1},1,3)-WEEKDAY(DATE(Système!a4nee(#REF!)+{-1;0;1},1,3))+2))/7)+1,""),"")</f>
        <v/>
      </c>
      <c r="Q8" s="55" t="str">
        <f ca="1">IFERROR(IF(WEEKDAY(N8,2)=1,INT((N8-LOOKUP(N8,DATE(Système!a4nee(N8)+{-1;0;1},1,3)-WEEKDAY(DATE(Système!a4nee(N8)+{-1;0;1},1,3))+2))/7)+1,""),"")</f>
        <v/>
      </c>
    </row>
    <row r="9" spans="1:35" ht="27" customHeight="1">
      <c r="A9" s="53" t="str">
        <f t="shared" ca="1" si="0"/>
        <v>LUN</v>
      </c>
      <c r="B9" s="54">
        <f t="shared" ca="1" si="3"/>
        <v>45236</v>
      </c>
      <c r="C9" s="55"/>
      <c r="D9" s="55"/>
      <c r="E9" s="56" t="str">
        <f ca="1">IFERROR(IF(WEEKDAY(B9,2)=1,INT((B9-LOOKUP(B9,DATE(Système!a4nee(B9)+{-1;0;1},1,3)-WEEKDAY(DATE(Système!a4nee(B9)+{-1;0;1},1,3))+2))/7)+1,""),"")</f>
        <v/>
      </c>
      <c r="F9" s="50"/>
      <c r="G9" s="57" t="str">
        <f t="shared" ca="1" si="1"/>
        <v>MER</v>
      </c>
      <c r="H9" s="54">
        <f t="shared" ca="1" si="4"/>
        <v>45266</v>
      </c>
      <c r="I9" s="55"/>
      <c r="J9" s="55"/>
      <c r="K9" s="55" t="s">
        <v>2965</v>
      </c>
      <c r="L9" s="52"/>
      <c r="M9" s="53" t="str">
        <f t="shared" ca="1" si="2"/>
        <v>SAM</v>
      </c>
      <c r="N9" s="54">
        <f t="shared" ca="1" si="5"/>
        <v>45297</v>
      </c>
      <c r="O9" s="55"/>
      <c r="P9" s="55"/>
      <c r="Q9" s="55"/>
    </row>
    <row r="10" spans="1:35" ht="27" customHeight="1">
      <c r="A10" s="53" t="str">
        <f t="shared" ca="1" si="0"/>
        <v>MAR</v>
      </c>
      <c r="B10" s="54">
        <f t="shared" ca="1" si="3"/>
        <v>45237</v>
      </c>
      <c r="C10" s="55"/>
      <c r="D10" s="55"/>
      <c r="E10" s="56" t="str">
        <f ca="1">IFERROR(IF(WEEKDAY(B10,2)=1,INT((B10-LOOKUP(B10,DATE(Système!a4nee(B10)+{-1;0;1},1,3)-WEEKDAY(DATE(Système!a4nee(B10)+{-1;0;1},1,3))+2))/7)+1,""),"")</f>
        <v/>
      </c>
      <c r="F10" s="50"/>
      <c r="G10" s="57" t="str">
        <f t="shared" ca="1" si="1"/>
        <v>JEU</v>
      </c>
      <c r="H10" s="54">
        <f t="shared" ca="1" si="4"/>
        <v>45267</v>
      </c>
      <c r="I10" s="55"/>
      <c r="J10" s="55"/>
      <c r="K10" s="55" t="s">
        <v>2966</v>
      </c>
      <c r="L10" s="52"/>
      <c r="M10" s="53" t="str">
        <f t="shared" ca="1" si="2"/>
        <v>DIM</v>
      </c>
      <c r="N10" s="54">
        <f t="shared" ca="1" si="5"/>
        <v>45298</v>
      </c>
      <c r="O10" s="55"/>
      <c r="P10" s="55"/>
      <c r="Q10" s="55"/>
    </row>
    <row r="11" spans="1:35" ht="27" customHeight="1">
      <c r="A11" s="53" t="str">
        <f t="shared" ca="1" si="0"/>
        <v>MER</v>
      </c>
      <c r="B11" s="54">
        <f t="shared" ca="1" si="3"/>
        <v>45238</v>
      </c>
      <c r="C11" s="55" t="str">
        <f>IFERROR(IF(WEEKDAY(#REF!,2)=1,INT((#REF!-LOOKUP(#REF!,DATE(Système!a4nee(#REF!)+{-1;0;1},1,3)-WEEKDAY(DATE(Système!a4nee(#REF!)+{-1;0;1},1,3))+2))/7)+1,""),"")</f>
        <v/>
      </c>
      <c r="D11" s="55" t="str">
        <f>IFERROR(IF(WEEKDAY(#REF!,2)=1,INT((#REF!-LOOKUP(#REF!,DATE(Système!a4nee(#REF!)+{-1;0;1},1,3)-WEEKDAY(DATE(Système!a4nee(#REF!)+{-1;0;1},1,3))+2))/7)+1,""),"")</f>
        <v/>
      </c>
      <c r="E11" s="56" t="str">
        <f ca="1">IFERROR(IF(WEEKDAY(B11,2)=1,INT((B11-LOOKUP(B11,DATE(Système!a4nee(B11)+{-1;0;1},1,3)-WEEKDAY(DATE(Système!a4nee(B11)+{-1;0;1},1,3))+2))/7)+1,""),"")</f>
        <v/>
      </c>
      <c r="F11" s="50"/>
      <c r="G11" s="57" t="str">
        <f t="shared" ca="1" si="1"/>
        <v>VEN</v>
      </c>
      <c r="H11" s="54">
        <f t="shared" ca="1" si="4"/>
        <v>45268</v>
      </c>
      <c r="I11" s="55" t="s">
        <v>2966</v>
      </c>
      <c r="J11" s="55" t="s">
        <v>2967</v>
      </c>
      <c r="K11" s="55" t="s">
        <v>2968</v>
      </c>
      <c r="L11" s="52"/>
      <c r="M11" s="53" t="str">
        <f t="shared" ca="1" si="2"/>
        <v>LUN</v>
      </c>
      <c r="N11" s="54">
        <f t="shared" ca="1" si="5"/>
        <v>45299</v>
      </c>
      <c r="O11" s="55" t="str">
        <f>IFERROR(IF(WEEKDAY(#REF!,2)=1,INT((#REF!-LOOKUP(#REF!,DATE(Système!a4nee(#REF!)+{-1;0;1},1,3)-WEEKDAY(DATE(Système!a4nee(#REF!)+{-1;0;1},1,3))+2))/7)+1,""),"")</f>
        <v/>
      </c>
      <c r="P11" s="55" t="str">
        <f>IFERROR(IF(WEEKDAY(#REF!,2)=1,INT((#REF!-LOOKUP(#REF!,DATE(Système!a4nee(#REF!)+{-1;0;1},1,3)-WEEKDAY(DATE(Système!a4nee(#REF!)+{-1;0;1},1,3))+2))/7)+1,""),"")</f>
        <v/>
      </c>
      <c r="Q11" s="55" t="str">
        <f ca="1">IFERROR(IF(WEEKDAY(N11,2)=1,INT((N11-LOOKUP(N11,DATE(Système!a4nee(N11)+{-1;0;1},1,3)-WEEKDAY(DATE(Système!a4nee(N11)+{-1;0;1},1,3))+2))/7)+1,""),"")</f>
        <v/>
      </c>
    </row>
    <row r="12" spans="1:35" ht="27" customHeight="1">
      <c r="A12" s="53" t="str">
        <f t="shared" ca="1" si="0"/>
        <v>JEU</v>
      </c>
      <c r="B12" s="54">
        <f t="shared" ca="1" si="3"/>
        <v>45239</v>
      </c>
      <c r="C12" s="55" t="str">
        <f>IFERROR(IF(WEEKDAY(#REF!,2)=1,INT((#REF!-LOOKUP(#REF!,DATE(Système!a4nee(#REF!)+{-1;0;1},1,3)-WEEKDAY(DATE(Système!a4nee(#REF!)+{-1;0;1},1,3))+2))/7)+1,""),"")</f>
        <v/>
      </c>
      <c r="D12" s="55" t="str">
        <f>IFERROR(IF(WEEKDAY(#REF!,2)=1,INT((#REF!-LOOKUP(#REF!,DATE(Système!a4nee(#REF!)+{-1;0;1},1,3)-WEEKDAY(DATE(Système!a4nee(#REF!)+{-1;0;1},1,3))+2))/7)+1,""),"")</f>
        <v/>
      </c>
      <c r="E12" s="56" t="str">
        <f ca="1">IFERROR(IF(WEEKDAY(B12,2)=1,INT((B12-LOOKUP(B12,DATE(Système!a4nee(B12)+{-1;0;1},1,3)-WEEKDAY(DATE(Système!a4nee(B12)+{-1;0;1},1,3))+2))/7)+1,""),"")</f>
        <v/>
      </c>
      <c r="F12" s="50"/>
      <c r="G12" s="57" t="str">
        <f t="shared" ca="1" si="1"/>
        <v>SAM</v>
      </c>
      <c r="H12" s="54">
        <f t="shared" ca="1" si="4"/>
        <v>45269</v>
      </c>
      <c r="I12" s="55" t="s">
        <v>2969</v>
      </c>
      <c r="J12" s="55" t="s">
        <v>2970</v>
      </c>
      <c r="K12" s="55" t="s">
        <v>2971</v>
      </c>
      <c r="L12" s="52"/>
      <c r="M12" s="53" t="str">
        <f t="shared" ca="1" si="2"/>
        <v>MAR</v>
      </c>
      <c r="N12" s="54">
        <f t="shared" ca="1" si="5"/>
        <v>45300</v>
      </c>
      <c r="O12" s="55" t="str">
        <f>IFERROR(IF(WEEKDAY(#REF!,2)=1,INT((#REF!-LOOKUP(#REF!,DATE(Système!a4nee(#REF!)+{-1;0;1},1,3)-WEEKDAY(DATE(Système!a4nee(#REF!)+{-1;0;1},1,3))+2))/7)+1,""),"")</f>
        <v/>
      </c>
      <c r="P12" s="55" t="str">
        <f>IFERROR(IF(WEEKDAY(#REF!,2)=1,INT((#REF!-LOOKUP(#REF!,DATE(Système!a4nee(#REF!)+{-1;0;1},1,3)-WEEKDAY(DATE(Système!a4nee(#REF!)+{-1;0;1},1,3))+2))/7)+1,""),"")</f>
        <v/>
      </c>
      <c r="Q12" s="55" t="str">
        <f ca="1">IFERROR(IF(WEEKDAY(N12,2)=1,INT((N12-LOOKUP(N12,DATE(Système!a4nee(N12)+{-1;0;1},1,3)-WEEKDAY(DATE(Système!a4nee(N12)+{-1;0;1},1,3))+2))/7)+1,""),"")</f>
        <v/>
      </c>
    </row>
    <row r="13" spans="1:35" ht="27" customHeight="1">
      <c r="A13" s="53" t="str">
        <f t="shared" ca="1" si="0"/>
        <v>VEN</v>
      </c>
      <c r="B13" s="54">
        <f t="shared" ca="1" si="3"/>
        <v>45240</v>
      </c>
      <c r="C13" s="55" t="str">
        <f>IFERROR(IF(WEEKDAY(#REF!,2)=1,INT((#REF!-LOOKUP(#REF!,DATE(Système!a4nee(#REF!)+{-1;0;1},1,3)-WEEKDAY(DATE(Système!a4nee(#REF!)+{-1;0;1},1,3))+2))/7)+1,""),"")</f>
        <v/>
      </c>
      <c r="D13" s="55" t="str">
        <f>IFERROR(IF(WEEKDAY(#REF!,2)=1,INT((#REF!-LOOKUP(#REF!,DATE(Système!a4nee(#REF!)+{-1;0;1},1,3)-WEEKDAY(DATE(Système!a4nee(#REF!)+{-1;0;1},1,3))+2))/7)+1,""),"")</f>
        <v/>
      </c>
      <c r="E13" s="56" t="str">
        <f ca="1">IFERROR(IF(WEEKDAY(B13,2)=1,INT((B13-LOOKUP(B13,DATE(Système!a4nee(B13)+{-1;0;1},1,3)-WEEKDAY(DATE(Système!a4nee(B13)+{-1;0;1},1,3))+2))/7)+1,""),"")</f>
        <v/>
      </c>
      <c r="F13" s="50"/>
      <c r="G13" s="57" t="str">
        <f t="shared" ca="1" si="1"/>
        <v>DIM</v>
      </c>
      <c r="H13" s="54">
        <f t="shared" ca="1" si="4"/>
        <v>45270</v>
      </c>
      <c r="I13" s="55" t="str">
        <f>IFERROR(IF(WEEKDAY(#REF!,2)=1,INT((#REF!-LOOKUP(#REF!,DATE(Système!a4nee(#REF!)+{-1;0;1},1,3)-WEEKDAY(DATE(Système!a4nee(#REF!)+{-1;0;1},1,3))+2))/7)+1,""),"")</f>
        <v/>
      </c>
      <c r="J13" s="55" t="str">
        <f>IFERROR(IF(WEEKDAY(#REF!,2)=1,INT((#REF!-LOOKUP(#REF!,DATE(Système!a4nee(#REF!)+{-1;0;1},1,3)-WEEKDAY(DATE(Système!a4nee(#REF!)+{-1;0;1},1,3))+2))/7)+1,""),"")</f>
        <v/>
      </c>
      <c r="K13" s="55" t="str">
        <f ca="1">IFERROR(IF(WEEKDAY(H13,2)=1,INT((H13-LOOKUP(H13,DATE(Système!a4nee(H13)+{-1;0;1},1,3)-WEEKDAY(DATE(Système!a4nee(H13)+{-1;0;1},1,3))+2))/7)+1,""),"")</f>
        <v/>
      </c>
      <c r="L13" s="52"/>
      <c r="M13" s="53" t="str">
        <f t="shared" ca="1" si="2"/>
        <v>MER</v>
      </c>
      <c r="N13" s="54">
        <f t="shared" ca="1" si="5"/>
        <v>45301</v>
      </c>
      <c r="O13" s="55" t="str">
        <f>IFERROR(IF(WEEKDAY(#REF!,2)=1,INT((#REF!-LOOKUP(#REF!,DATE(Système!a4nee(#REF!)+{-1;0;1},1,3)-WEEKDAY(DATE(Système!a4nee(#REF!)+{-1;0;1},1,3))+2))/7)+1,""),"")</f>
        <v/>
      </c>
      <c r="P13" s="55" t="str">
        <f>IFERROR(IF(WEEKDAY(#REF!,2)=1,INT((#REF!-LOOKUP(#REF!,DATE(Système!a4nee(#REF!)+{-1;0;1},1,3)-WEEKDAY(DATE(Système!a4nee(#REF!)+{-1;0;1},1,3))+2))/7)+1,""),"")</f>
        <v/>
      </c>
      <c r="Q13" s="55" t="str">
        <f ca="1">IFERROR(IF(WEEKDAY(N13,2)=1,INT((N13-LOOKUP(N13,DATE(Système!a4nee(N13)+{-1;0;1},1,3)-WEEKDAY(DATE(Système!a4nee(N13)+{-1;0;1},1,3))+2))/7)+1,""),"")</f>
        <v/>
      </c>
    </row>
    <row r="14" spans="1:35" ht="27" customHeight="1">
      <c r="A14" s="53" t="str">
        <f t="shared" ca="1" si="0"/>
        <v>SAM</v>
      </c>
      <c r="B14" s="54">
        <f t="shared" ca="1" si="3"/>
        <v>45241</v>
      </c>
      <c r="C14" s="55" t="str">
        <f>IFERROR(IF(WEEKDAY(#REF!,2)=1,INT((#REF!-LOOKUP(#REF!,DATE(Système!a4nee(#REF!)+{-1;0;1},1,3)-WEEKDAY(DATE(Système!a4nee(#REF!)+{-1;0;1},1,3))+2))/7)+1,""),"")</f>
        <v/>
      </c>
      <c r="D14" s="55" t="str">
        <f>IFERROR(IF(WEEKDAY(#REF!,2)=1,INT((#REF!-LOOKUP(#REF!,DATE(Système!a4nee(#REF!)+{-1;0;1},1,3)-WEEKDAY(DATE(Système!a4nee(#REF!)+{-1;0;1},1,3))+2))/7)+1,""),"")</f>
        <v/>
      </c>
      <c r="E14" s="56" t="str">
        <f ca="1">IFERROR(IF(WEEKDAY(B14,2)=1,INT((B14-LOOKUP(B14,DATE(Système!a4nee(B14)+{-1;0;1},1,3)-WEEKDAY(DATE(Système!a4nee(B14)+{-1;0;1},1,3))+2))/7)+1,""),"")</f>
        <v/>
      </c>
      <c r="F14" s="50"/>
      <c r="G14" s="57" t="str">
        <f t="shared" ca="1" si="1"/>
        <v>LUN</v>
      </c>
      <c r="H14" s="54">
        <f t="shared" ca="1" si="4"/>
        <v>45271</v>
      </c>
      <c r="I14" s="55" t="str">
        <f>IFERROR(IF(WEEKDAY(#REF!,2)=1,INT((#REF!-LOOKUP(#REF!,DATE(Système!a4nee(#REF!)+{-1;0;1},1,3)-WEEKDAY(DATE(Système!a4nee(#REF!)+{-1;0;1},1,3))+2))/7)+1,""),"")</f>
        <v/>
      </c>
      <c r="J14" s="55" t="str">
        <f>IFERROR(IF(WEEKDAY(#REF!,2)=1,INT((#REF!-LOOKUP(#REF!,DATE(Système!a4nee(#REF!)+{-1;0;1},1,3)-WEEKDAY(DATE(Système!a4nee(#REF!)+{-1;0;1},1,3))+2))/7)+1,""),"")</f>
        <v/>
      </c>
      <c r="K14" s="55" t="str">
        <f ca="1">IFERROR(IF(WEEKDAY(H14,2)=1,INT((H14-LOOKUP(H14,DATE(Système!a4nee(H14)+{-1;0;1},1,3)-WEEKDAY(DATE(Système!a4nee(H14)+{-1;0;1},1,3))+2))/7)+1,""),"")</f>
        <v/>
      </c>
      <c r="L14" s="52"/>
      <c r="M14" s="53" t="str">
        <f t="shared" ca="1" si="2"/>
        <v>JEU</v>
      </c>
      <c r="N14" s="54">
        <f t="shared" ca="1" si="5"/>
        <v>45302</v>
      </c>
      <c r="O14" s="55" t="str">
        <f>IFERROR(IF(WEEKDAY(#REF!,2)=1,INT((#REF!-LOOKUP(#REF!,DATE(Système!a4nee(#REF!)+{-1;0;1},1,3)-WEEKDAY(DATE(Système!a4nee(#REF!)+{-1;0;1},1,3))+2))/7)+1,""),"")</f>
        <v/>
      </c>
      <c r="P14" s="55" t="str">
        <f>IFERROR(IF(WEEKDAY(#REF!,2)=1,INT((#REF!-LOOKUP(#REF!,DATE(Système!a4nee(#REF!)+{-1;0;1},1,3)-WEEKDAY(DATE(Système!a4nee(#REF!)+{-1;0;1},1,3))+2))/7)+1,""),"")</f>
        <v/>
      </c>
      <c r="Q14" s="55" t="str">
        <f ca="1">IFERROR(IF(WEEKDAY(N14,2)=1,INT((N14-LOOKUP(N14,DATE(Système!a4nee(N14)+{-1;0;1},1,3)-WEEKDAY(DATE(Système!a4nee(N14)+{-1;0;1},1,3))+2))/7)+1,""),"")</f>
        <v/>
      </c>
    </row>
    <row r="15" spans="1:35" ht="27" customHeight="1">
      <c r="A15" s="53" t="str">
        <f t="shared" ca="1" si="0"/>
        <v>DIM</v>
      </c>
      <c r="B15" s="54">
        <f t="shared" ca="1" si="3"/>
        <v>45242</v>
      </c>
      <c r="C15" s="55" t="str">
        <f>IFERROR(IF(WEEKDAY(#REF!,2)=1,INT((#REF!-LOOKUP(#REF!,DATE(Système!a4nee(#REF!)+{-1;0;1},1,3)-WEEKDAY(DATE(Système!a4nee(#REF!)+{-1;0;1},1,3))+2))/7)+1,""),"")</f>
        <v/>
      </c>
      <c r="D15" s="55" t="str">
        <f>IFERROR(IF(WEEKDAY(#REF!,2)=1,INT((#REF!-LOOKUP(#REF!,DATE(Système!a4nee(#REF!)+{-1;0;1},1,3)-WEEKDAY(DATE(Système!a4nee(#REF!)+{-1;0;1},1,3))+2))/7)+1,""),"")</f>
        <v/>
      </c>
      <c r="E15" s="56" t="str">
        <f ca="1">IFERROR(IF(WEEKDAY(B15,2)=1,INT((B15-LOOKUP(B15,DATE(Système!a4nee(B15)+{-1;0;1},1,3)-WEEKDAY(DATE(Système!a4nee(B15)+{-1;0;1},1,3))+2))/7)+1,""),"")</f>
        <v/>
      </c>
      <c r="F15" s="50"/>
      <c r="G15" s="57" t="str">
        <f t="shared" ca="1" si="1"/>
        <v>MAR</v>
      </c>
      <c r="H15" s="54">
        <f t="shared" ca="1" si="4"/>
        <v>45272</v>
      </c>
      <c r="I15" s="55" t="str">
        <f>IFERROR(IF(WEEKDAY(#REF!,2)=1,INT((#REF!-LOOKUP(#REF!,DATE(Système!a4nee(#REF!)+{-1;0;1},1,3)-WEEKDAY(DATE(Système!a4nee(#REF!)+{-1;0;1},1,3))+2))/7)+1,""),"")</f>
        <v/>
      </c>
      <c r="J15" s="55" t="str">
        <f>IFERROR(IF(WEEKDAY(#REF!,2)=1,INT((#REF!-LOOKUP(#REF!,DATE(Système!a4nee(#REF!)+{-1;0;1},1,3)-WEEKDAY(DATE(Système!a4nee(#REF!)+{-1;0;1},1,3))+2))/7)+1,""),"")</f>
        <v/>
      </c>
      <c r="K15" s="55" t="str">
        <f ca="1">IFERROR(IF(WEEKDAY(H15,2)=1,INT((H15-LOOKUP(H15,DATE(Système!a4nee(H15)+{-1;0;1},1,3)-WEEKDAY(DATE(Système!a4nee(H15)+{-1;0;1},1,3))+2))/7)+1,""),"")</f>
        <v/>
      </c>
      <c r="L15" s="52"/>
      <c r="M15" s="53" t="str">
        <f t="shared" ca="1" si="2"/>
        <v>VEN</v>
      </c>
      <c r="N15" s="54">
        <f t="shared" ca="1" si="5"/>
        <v>45303</v>
      </c>
      <c r="O15" s="55" t="str">
        <f>IFERROR(IF(WEEKDAY(#REF!,2)=1,INT((#REF!-LOOKUP(#REF!,DATE(Système!a4nee(#REF!)+{-1;0;1},1,3)-WEEKDAY(DATE(Système!a4nee(#REF!)+{-1;0;1},1,3))+2))/7)+1,""),"")</f>
        <v/>
      </c>
      <c r="P15" s="55" t="str">
        <f>IFERROR(IF(WEEKDAY(#REF!,2)=1,INT((#REF!-LOOKUP(#REF!,DATE(Système!a4nee(#REF!)+{-1;0;1},1,3)-WEEKDAY(DATE(Système!a4nee(#REF!)+{-1;0;1},1,3))+2))/7)+1,""),"")</f>
        <v/>
      </c>
      <c r="Q15" s="55" t="str">
        <f ca="1">IFERROR(IF(WEEKDAY(N15,2)=1,INT((N15-LOOKUP(N15,DATE(Système!a4nee(N15)+{-1;0;1},1,3)-WEEKDAY(DATE(Système!a4nee(N15)+{-1;0;1},1,3))+2))/7)+1,""),"")</f>
        <v/>
      </c>
    </row>
    <row r="16" spans="1:35" ht="27" customHeight="1">
      <c r="A16" s="53" t="str">
        <f t="shared" ca="1" si="0"/>
        <v>LUN</v>
      </c>
      <c r="B16" s="54">
        <f t="shared" ca="1" si="3"/>
        <v>45243</v>
      </c>
      <c r="C16" s="55" t="str">
        <f>IFERROR(IF(WEEKDAY(#REF!,2)=1,INT((#REF!-LOOKUP(#REF!,DATE(Système!a4nee(#REF!)+{-1;0;1},1,3)-WEEKDAY(DATE(Système!a4nee(#REF!)+{-1;0;1},1,3))+2))/7)+1,""),"")</f>
        <v/>
      </c>
      <c r="D16" s="55" t="str">
        <f>IFERROR(IF(WEEKDAY(#REF!,2)=1,INT((#REF!-LOOKUP(#REF!,DATE(Système!a4nee(#REF!)+{-1;0;1},1,3)-WEEKDAY(DATE(Système!a4nee(#REF!)+{-1;0;1},1,3))+2))/7)+1,""),"")</f>
        <v/>
      </c>
      <c r="E16" s="56" t="str">
        <f ca="1">IFERROR(IF(WEEKDAY(B16,2)=1,INT((B16-LOOKUP(B16,DATE(Système!a4nee(B16)+{-1;0;1},1,3)-WEEKDAY(DATE(Système!a4nee(B16)+{-1;0;1},1,3))+2))/7)+1,""),"")</f>
        <v/>
      </c>
      <c r="F16" s="50"/>
      <c r="G16" s="57" t="str">
        <f t="shared" ca="1" si="1"/>
        <v>MER</v>
      </c>
      <c r="H16" s="54">
        <f t="shared" ca="1" si="4"/>
        <v>45273</v>
      </c>
      <c r="I16" s="55" t="str">
        <f>IFERROR(IF(WEEKDAY(#REF!,2)=1,INT((#REF!-LOOKUP(#REF!,DATE(Système!a4nee(#REF!)+{-1;0;1},1,3)-WEEKDAY(DATE(Système!a4nee(#REF!)+{-1;0;1},1,3))+2))/7)+1,""),"")</f>
        <v/>
      </c>
      <c r="J16" s="55" t="str">
        <f>IFERROR(IF(WEEKDAY(#REF!,2)=1,INT((#REF!-LOOKUP(#REF!,DATE(Système!a4nee(#REF!)+{-1;0;1},1,3)-WEEKDAY(DATE(Système!a4nee(#REF!)+{-1;0;1},1,3))+2))/7)+1,""),"")</f>
        <v/>
      </c>
      <c r="K16" s="55" t="str">
        <f ca="1">IFERROR(IF(WEEKDAY(H16,2)=1,INT((H16-LOOKUP(H16,DATE(Système!a4nee(H16)+{-1;0;1},1,3)-WEEKDAY(DATE(Système!a4nee(H16)+{-1;0;1},1,3))+2))/7)+1,""),"")</f>
        <v/>
      </c>
      <c r="L16" s="52"/>
      <c r="M16" s="53" t="str">
        <f t="shared" ca="1" si="2"/>
        <v>SAM</v>
      </c>
      <c r="N16" s="54">
        <f t="shared" ca="1" si="5"/>
        <v>45304</v>
      </c>
      <c r="O16" s="55" t="str">
        <f>IFERROR(IF(WEEKDAY(#REF!,2)=1,INT((#REF!-LOOKUP(#REF!,DATE(Système!a4nee(#REF!)+{-1;0;1},1,3)-WEEKDAY(DATE(Système!a4nee(#REF!)+{-1;0;1},1,3))+2))/7)+1,""),"")</f>
        <v/>
      </c>
      <c r="P16" s="55" t="str">
        <f>IFERROR(IF(WEEKDAY(#REF!,2)=1,INT((#REF!-LOOKUP(#REF!,DATE(Système!a4nee(#REF!)+{-1;0;1},1,3)-WEEKDAY(DATE(Système!a4nee(#REF!)+{-1;0;1},1,3))+2))/7)+1,""),"")</f>
        <v/>
      </c>
      <c r="Q16" s="55" t="str">
        <f ca="1">IFERROR(IF(WEEKDAY(N16,2)=1,INT((N16-LOOKUP(N16,DATE(Système!a4nee(N16)+{-1;0;1},1,3)-WEEKDAY(DATE(Système!a4nee(N16)+{-1;0;1},1,3))+2))/7)+1,""),"")</f>
        <v/>
      </c>
    </row>
    <row r="17" spans="1:17" ht="27" customHeight="1">
      <c r="A17" s="53" t="str">
        <f t="shared" ca="1" si="0"/>
        <v>MAR</v>
      </c>
      <c r="B17" s="54">
        <f t="shared" ca="1" si="3"/>
        <v>45244</v>
      </c>
      <c r="C17" s="55" t="str">
        <f>IFERROR(IF(WEEKDAY(#REF!,2)=1,INT((#REF!-LOOKUP(#REF!,DATE(Système!a4nee(#REF!)+{-1;0;1},1,3)-WEEKDAY(DATE(Système!a4nee(#REF!)+{-1;0;1},1,3))+2))/7)+1,""),"")</f>
        <v/>
      </c>
      <c r="D17" s="55" t="str">
        <f>IFERROR(IF(WEEKDAY(#REF!,2)=1,INT((#REF!-LOOKUP(#REF!,DATE(Système!a4nee(#REF!)+{-1;0;1},1,3)-WEEKDAY(DATE(Système!a4nee(#REF!)+{-1;0;1},1,3))+2))/7)+1,""),"")</f>
        <v/>
      </c>
      <c r="E17" s="56" t="str">
        <f ca="1">IFERROR(IF(WEEKDAY(B17,2)=1,INT((B17-LOOKUP(B17,DATE(Système!a4nee(B17)+{-1;0;1},1,3)-WEEKDAY(DATE(Système!a4nee(B17)+{-1;0;1},1,3))+2))/7)+1,""),"")</f>
        <v/>
      </c>
      <c r="F17" s="50"/>
      <c r="G17" s="57" t="str">
        <f t="shared" ca="1" si="1"/>
        <v>JEU</v>
      </c>
      <c r="H17" s="54">
        <f t="shared" ca="1" si="4"/>
        <v>45274</v>
      </c>
      <c r="I17" s="55" t="str">
        <f>IFERROR(IF(WEEKDAY(#REF!,2)=1,INT((#REF!-LOOKUP(#REF!,DATE(Système!a4nee(#REF!)+{-1;0;1},1,3)-WEEKDAY(DATE(Système!a4nee(#REF!)+{-1;0;1},1,3))+2))/7)+1,""),"")</f>
        <v/>
      </c>
      <c r="J17" s="55" t="str">
        <f>IFERROR(IF(WEEKDAY(#REF!,2)=1,INT((#REF!-LOOKUP(#REF!,DATE(Système!a4nee(#REF!)+{-1;0;1},1,3)-WEEKDAY(DATE(Système!a4nee(#REF!)+{-1;0;1},1,3))+2))/7)+1,""),"")</f>
        <v/>
      </c>
      <c r="K17" s="55" t="str">
        <f ca="1">IFERROR(IF(WEEKDAY(H17,2)=1,INT((H17-LOOKUP(H17,DATE(Système!a4nee(H17)+{-1;0;1},1,3)-WEEKDAY(DATE(Système!a4nee(H17)+{-1;0;1},1,3))+2))/7)+1,""),"")</f>
        <v/>
      </c>
      <c r="L17" s="52"/>
      <c r="M17" s="53" t="str">
        <f t="shared" ca="1" si="2"/>
        <v>DIM</v>
      </c>
      <c r="N17" s="54">
        <f t="shared" ca="1" si="5"/>
        <v>45305</v>
      </c>
      <c r="O17" s="55" t="str">
        <f>IFERROR(IF(WEEKDAY(#REF!,2)=1,INT((#REF!-LOOKUP(#REF!,DATE(Système!a4nee(#REF!)+{-1;0;1},1,3)-WEEKDAY(DATE(Système!a4nee(#REF!)+{-1;0;1},1,3))+2))/7)+1,""),"")</f>
        <v/>
      </c>
      <c r="P17" s="55" t="str">
        <f>IFERROR(IF(WEEKDAY(#REF!,2)=1,INT((#REF!-LOOKUP(#REF!,DATE(Système!a4nee(#REF!)+{-1;0;1},1,3)-WEEKDAY(DATE(Système!a4nee(#REF!)+{-1;0;1},1,3))+2))/7)+1,""),"")</f>
        <v/>
      </c>
      <c r="Q17" s="55" t="str">
        <f ca="1">IFERROR(IF(WEEKDAY(N17,2)=1,INT((N17-LOOKUP(N17,DATE(Système!a4nee(N17)+{-1;0;1},1,3)-WEEKDAY(DATE(Système!a4nee(N17)+{-1;0;1},1,3))+2))/7)+1,""),"")</f>
        <v/>
      </c>
    </row>
    <row r="18" spans="1:17" ht="27" customHeight="1">
      <c r="A18" s="53" t="str">
        <f t="shared" ca="1" si="0"/>
        <v>MER</v>
      </c>
      <c r="B18" s="54">
        <f t="shared" ca="1" si="3"/>
        <v>45245</v>
      </c>
      <c r="C18" s="55" t="str">
        <f>IFERROR(IF(WEEKDAY(#REF!,2)=1,INT((#REF!-LOOKUP(#REF!,DATE(Système!a4nee(#REF!)+{-1;0;1},1,3)-WEEKDAY(DATE(Système!a4nee(#REF!)+{-1;0;1},1,3))+2))/7)+1,""),"")</f>
        <v/>
      </c>
      <c r="D18" s="55" t="str">
        <f>IFERROR(IF(WEEKDAY(#REF!,2)=1,INT((#REF!-LOOKUP(#REF!,DATE(Système!a4nee(#REF!)+{-1;0;1},1,3)-WEEKDAY(DATE(Système!a4nee(#REF!)+{-1;0;1},1,3))+2))/7)+1,""),"")</f>
        <v/>
      </c>
      <c r="E18" s="56" t="str">
        <f ca="1">IFERROR(IF(WEEKDAY(B18,2)=1,INT((B18-LOOKUP(B18,DATE(Système!a4nee(B18)+{-1;0;1},1,3)-WEEKDAY(DATE(Système!a4nee(B18)+{-1;0;1},1,3))+2))/7)+1,""),"")</f>
        <v/>
      </c>
      <c r="F18" s="50"/>
      <c r="G18" s="57" t="str">
        <f t="shared" ca="1" si="1"/>
        <v>VEN</v>
      </c>
      <c r="H18" s="54">
        <f t="shared" ca="1" si="4"/>
        <v>45275</v>
      </c>
      <c r="I18" s="55" t="str">
        <f>IFERROR(IF(WEEKDAY(#REF!,2)=1,INT((#REF!-LOOKUP(#REF!,DATE(Système!a4nee(#REF!)+{-1;0;1},1,3)-WEEKDAY(DATE(Système!a4nee(#REF!)+{-1;0;1},1,3))+2))/7)+1,""),"")</f>
        <v/>
      </c>
      <c r="J18" s="55" t="str">
        <f>IFERROR(IF(WEEKDAY(#REF!,2)=1,INT((#REF!-LOOKUP(#REF!,DATE(Système!a4nee(#REF!)+{-1;0;1},1,3)-WEEKDAY(DATE(Système!a4nee(#REF!)+{-1;0;1},1,3))+2))/7)+1,""),"")</f>
        <v/>
      </c>
      <c r="K18" s="55" t="str">
        <f ca="1">IFERROR(IF(WEEKDAY(H18,2)=1,INT((H18-LOOKUP(H18,DATE(Système!a4nee(H18)+{-1;0;1},1,3)-WEEKDAY(DATE(Système!a4nee(H18)+{-1;0;1},1,3))+2))/7)+1,""),"")</f>
        <v/>
      </c>
      <c r="L18" s="52"/>
      <c r="M18" s="53" t="str">
        <f t="shared" ca="1" si="2"/>
        <v>LUN</v>
      </c>
      <c r="N18" s="54">
        <f t="shared" ca="1" si="5"/>
        <v>45306</v>
      </c>
      <c r="O18" s="55" t="str">
        <f>IFERROR(IF(WEEKDAY(#REF!,2)=1,INT((#REF!-LOOKUP(#REF!,DATE(Système!a4nee(#REF!)+{-1;0;1},1,3)-WEEKDAY(DATE(Système!a4nee(#REF!)+{-1;0;1},1,3))+2))/7)+1,""),"")</f>
        <v/>
      </c>
      <c r="P18" s="55" t="str">
        <f>IFERROR(IF(WEEKDAY(#REF!,2)=1,INT((#REF!-LOOKUP(#REF!,DATE(Système!a4nee(#REF!)+{-1;0;1},1,3)-WEEKDAY(DATE(Système!a4nee(#REF!)+{-1;0;1},1,3))+2))/7)+1,""),"")</f>
        <v/>
      </c>
      <c r="Q18" s="55" t="str">
        <f ca="1">IFERROR(IF(WEEKDAY(N18,2)=1,INT((N18-LOOKUP(N18,DATE(Système!a4nee(N18)+{-1;0;1},1,3)-WEEKDAY(DATE(Système!a4nee(N18)+{-1;0;1},1,3))+2))/7)+1,""),"")</f>
        <v/>
      </c>
    </row>
    <row r="19" spans="1:17" ht="27" customHeight="1">
      <c r="A19" s="53" t="str">
        <f t="shared" ca="1" si="0"/>
        <v>JEU</v>
      </c>
      <c r="B19" s="54">
        <f t="shared" ca="1" si="3"/>
        <v>45246</v>
      </c>
      <c r="C19" s="55" t="str">
        <f>IFERROR(IF(WEEKDAY(#REF!,2)=1,INT((#REF!-LOOKUP(#REF!,DATE(Système!a4nee(#REF!)+{-1;0;1},1,3)-WEEKDAY(DATE(Système!a4nee(#REF!)+{-1;0;1},1,3))+2))/7)+1,""),"")</f>
        <v/>
      </c>
      <c r="D19" s="55" t="str">
        <f>IFERROR(IF(WEEKDAY(#REF!,2)=1,INT((#REF!-LOOKUP(#REF!,DATE(Système!a4nee(#REF!)+{-1;0;1},1,3)-WEEKDAY(DATE(Système!a4nee(#REF!)+{-1;0;1},1,3))+2))/7)+1,""),"")</f>
        <v/>
      </c>
      <c r="E19" s="56" t="str">
        <f ca="1">IFERROR(IF(WEEKDAY(B19,2)=1,INT((B19-LOOKUP(B19,DATE(Système!a4nee(B19)+{-1;0;1},1,3)-WEEKDAY(DATE(Système!a4nee(B19)+{-1;0;1},1,3))+2))/7)+1,""),"")</f>
        <v/>
      </c>
      <c r="F19" s="50"/>
      <c r="G19" s="57" t="str">
        <f t="shared" ca="1" si="1"/>
        <v>SAM</v>
      </c>
      <c r="H19" s="54">
        <f t="shared" ca="1" si="4"/>
        <v>45276</v>
      </c>
      <c r="I19" s="55" t="str">
        <f>IFERROR(IF(WEEKDAY(#REF!,2)=1,INT((#REF!-LOOKUP(#REF!,DATE(Système!a4nee(#REF!)+{-1;0;1},1,3)-WEEKDAY(DATE(Système!a4nee(#REF!)+{-1;0;1},1,3))+2))/7)+1,""),"")</f>
        <v/>
      </c>
      <c r="J19" s="55" t="str">
        <f>IFERROR(IF(WEEKDAY(#REF!,2)=1,INT((#REF!-LOOKUP(#REF!,DATE(Système!a4nee(#REF!)+{-1;0;1},1,3)-WEEKDAY(DATE(Système!a4nee(#REF!)+{-1;0;1},1,3))+2))/7)+1,""),"")</f>
        <v/>
      </c>
      <c r="K19" s="55" t="str">
        <f ca="1">IFERROR(IF(WEEKDAY(H19,2)=1,INT((H19-LOOKUP(H19,DATE(Système!a4nee(H19)+{-1;0;1},1,3)-WEEKDAY(DATE(Système!a4nee(H19)+{-1;0;1},1,3))+2))/7)+1,""),"")</f>
        <v/>
      </c>
      <c r="L19" s="52"/>
      <c r="M19" s="53" t="str">
        <f t="shared" ca="1" si="2"/>
        <v>MAR</v>
      </c>
      <c r="N19" s="54">
        <f t="shared" ca="1" si="5"/>
        <v>45307</v>
      </c>
      <c r="O19" s="55" t="str">
        <f>IFERROR(IF(WEEKDAY(#REF!,2)=1,INT((#REF!-LOOKUP(#REF!,DATE(Système!a4nee(#REF!)+{-1;0;1},1,3)-WEEKDAY(DATE(Système!a4nee(#REF!)+{-1;0;1},1,3))+2))/7)+1,""),"")</f>
        <v/>
      </c>
      <c r="P19" s="55" t="str">
        <f>IFERROR(IF(WEEKDAY(#REF!,2)=1,INT((#REF!-LOOKUP(#REF!,DATE(Système!a4nee(#REF!)+{-1;0;1},1,3)-WEEKDAY(DATE(Système!a4nee(#REF!)+{-1;0;1},1,3))+2))/7)+1,""),"")</f>
        <v/>
      </c>
      <c r="Q19" s="55" t="str">
        <f ca="1">IFERROR(IF(WEEKDAY(N19,2)=1,INT((N19-LOOKUP(N19,DATE(Système!a4nee(N19)+{-1;0;1},1,3)-WEEKDAY(DATE(Système!a4nee(N19)+{-1;0;1},1,3))+2))/7)+1,""),"")</f>
        <v/>
      </c>
    </row>
    <row r="20" spans="1:17" ht="27" customHeight="1">
      <c r="A20" s="53" t="str">
        <f t="shared" ca="1" si="0"/>
        <v>VEN</v>
      </c>
      <c r="B20" s="54">
        <f t="shared" ca="1" si="3"/>
        <v>45247</v>
      </c>
      <c r="C20" s="55" t="str">
        <f>IFERROR(IF(WEEKDAY(#REF!,2)=1,INT((#REF!-LOOKUP(#REF!,DATE(Système!a4nee(#REF!)+{-1;0;1},1,3)-WEEKDAY(DATE(Système!a4nee(#REF!)+{-1;0;1},1,3))+2))/7)+1,""),"")</f>
        <v/>
      </c>
      <c r="D20" s="55" t="str">
        <f>IFERROR(IF(WEEKDAY(#REF!,2)=1,INT((#REF!-LOOKUP(#REF!,DATE(Système!a4nee(#REF!)+{-1;0;1},1,3)-WEEKDAY(DATE(Système!a4nee(#REF!)+{-1;0;1},1,3))+2))/7)+1,""),"")</f>
        <v/>
      </c>
      <c r="E20" s="56" t="str">
        <f ca="1">IFERROR(IF(WEEKDAY(B20,2)=1,INT((B20-LOOKUP(B20,DATE(Système!a4nee(B20)+{-1;0;1},1,3)-WEEKDAY(DATE(Système!a4nee(B20)+{-1;0;1},1,3))+2))/7)+1,""),"")</f>
        <v/>
      </c>
      <c r="F20" s="50"/>
      <c r="G20" s="57" t="str">
        <f t="shared" ca="1" si="1"/>
        <v>DIM</v>
      </c>
      <c r="H20" s="54">
        <f t="shared" ca="1" si="4"/>
        <v>45277</v>
      </c>
      <c r="I20" s="55" t="str">
        <f>IFERROR(IF(WEEKDAY(#REF!,2)=1,INT((#REF!-LOOKUP(#REF!,DATE(Système!a4nee(#REF!)+{-1;0;1},1,3)-WEEKDAY(DATE(Système!a4nee(#REF!)+{-1;0;1},1,3))+2))/7)+1,""),"")</f>
        <v/>
      </c>
      <c r="J20" s="55" t="str">
        <f>IFERROR(IF(WEEKDAY(#REF!,2)=1,INT((#REF!-LOOKUP(#REF!,DATE(Système!a4nee(#REF!)+{-1;0;1},1,3)-WEEKDAY(DATE(Système!a4nee(#REF!)+{-1;0;1},1,3))+2))/7)+1,""),"")</f>
        <v/>
      </c>
      <c r="K20" s="55" t="str">
        <f ca="1">IFERROR(IF(WEEKDAY(H20,2)=1,INT((H20-LOOKUP(H20,DATE(Système!a4nee(H20)+{-1;0;1},1,3)-WEEKDAY(DATE(Système!a4nee(H20)+{-1;0;1},1,3))+2))/7)+1,""),"")</f>
        <v/>
      </c>
      <c r="L20" s="52"/>
      <c r="M20" s="53" t="str">
        <f t="shared" ca="1" si="2"/>
        <v>MER</v>
      </c>
      <c r="N20" s="54">
        <f t="shared" ca="1" si="5"/>
        <v>45308</v>
      </c>
      <c r="O20" s="55" t="str">
        <f>IFERROR(IF(WEEKDAY(#REF!,2)=1,INT((#REF!-LOOKUP(#REF!,DATE(Système!a4nee(#REF!)+{-1;0;1},1,3)-WEEKDAY(DATE(Système!a4nee(#REF!)+{-1;0;1},1,3))+2))/7)+1,""),"")</f>
        <v/>
      </c>
      <c r="P20" s="55" t="str">
        <f>IFERROR(IF(WEEKDAY(#REF!,2)=1,INT((#REF!-LOOKUP(#REF!,DATE(Système!a4nee(#REF!)+{-1;0;1},1,3)-WEEKDAY(DATE(Système!a4nee(#REF!)+{-1;0;1},1,3))+2))/7)+1,""),"")</f>
        <v/>
      </c>
      <c r="Q20" s="55" t="str">
        <f ca="1">IFERROR(IF(WEEKDAY(N20,2)=1,INT((N20-LOOKUP(N20,DATE(Système!a4nee(N20)+{-1;0;1},1,3)-WEEKDAY(DATE(Système!a4nee(N20)+{-1;0;1},1,3))+2))/7)+1,""),"")</f>
        <v/>
      </c>
    </row>
    <row r="21" spans="1:17" ht="27" customHeight="1">
      <c r="A21" s="53" t="str">
        <f t="shared" ca="1" si="0"/>
        <v>SAM</v>
      </c>
      <c r="B21" s="54">
        <f t="shared" ca="1" si="3"/>
        <v>45248</v>
      </c>
      <c r="C21" s="55" t="str">
        <f>IFERROR(IF(WEEKDAY(#REF!,2)=1,INT((#REF!-LOOKUP(#REF!,DATE(Système!a4nee(#REF!)+{-1;0;1},1,3)-WEEKDAY(DATE(Système!a4nee(#REF!)+{-1;0;1},1,3))+2))/7)+1,""),"")</f>
        <v/>
      </c>
      <c r="D21" s="55" t="str">
        <f>IFERROR(IF(WEEKDAY(#REF!,2)=1,INT((#REF!-LOOKUP(#REF!,DATE(Système!a4nee(#REF!)+{-1;0;1},1,3)-WEEKDAY(DATE(Système!a4nee(#REF!)+{-1;0;1},1,3))+2))/7)+1,""),"")</f>
        <v/>
      </c>
      <c r="E21" s="56" t="str">
        <f ca="1">IFERROR(IF(WEEKDAY(B21,2)=1,INT((B21-LOOKUP(B21,DATE(Système!a4nee(B21)+{-1;0;1},1,3)-WEEKDAY(DATE(Système!a4nee(B21)+{-1;0;1},1,3))+2))/7)+1,""),"")</f>
        <v/>
      </c>
      <c r="F21" s="50"/>
      <c r="G21" s="57" t="str">
        <f t="shared" ca="1" si="1"/>
        <v>LUN</v>
      </c>
      <c r="H21" s="54">
        <f t="shared" ca="1" si="4"/>
        <v>45278</v>
      </c>
      <c r="I21" s="55" t="str">
        <f>IFERROR(IF(WEEKDAY(#REF!,2)=1,INT((#REF!-LOOKUP(#REF!,DATE(Système!a4nee(#REF!)+{-1;0;1},1,3)-WEEKDAY(DATE(Système!a4nee(#REF!)+{-1;0;1},1,3))+2))/7)+1,""),"")</f>
        <v/>
      </c>
      <c r="J21" s="55" t="str">
        <f>IFERROR(IF(WEEKDAY(#REF!,2)=1,INT((#REF!-LOOKUP(#REF!,DATE(Système!a4nee(#REF!)+{-1;0;1},1,3)-WEEKDAY(DATE(Système!a4nee(#REF!)+{-1;0;1},1,3))+2))/7)+1,""),"")</f>
        <v/>
      </c>
      <c r="K21" s="55" t="str">
        <f ca="1">IFERROR(IF(WEEKDAY(H21,2)=1,INT((H21-LOOKUP(H21,DATE(Système!a4nee(H21)+{-1;0;1},1,3)-WEEKDAY(DATE(Système!a4nee(H21)+{-1;0;1},1,3))+2))/7)+1,""),"")</f>
        <v/>
      </c>
      <c r="L21" s="52"/>
      <c r="M21" s="53" t="str">
        <f t="shared" ca="1" si="2"/>
        <v>JEU</v>
      </c>
      <c r="N21" s="54">
        <f t="shared" ca="1" si="5"/>
        <v>45309</v>
      </c>
      <c r="O21" s="55" t="str">
        <f>IFERROR(IF(WEEKDAY(#REF!,2)=1,INT((#REF!-LOOKUP(#REF!,DATE(Système!a4nee(#REF!)+{-1;0;1},1,3)-WEEKDAY(DATE(Système!a4nee(#REF!)+{-1;0;1},1,3))+2))/7)+1,""),"")</f>
        <v/>
      </c>
      <c r="P21" s="55" t="str">
        <f>IFERROR(IF(WEEKDAY(#REF!,2)=1,INT((#REF!-LOOKUP(#REF!,DATE(Système!a4nee(#REF!)+{-1;0;1},1,3)-WEEKDAY(DATE(Système!a4nee(#REF!)+{-1;0;1},1,3))+2))/7)+1,""),"")</f>
        <v/>
      </c>
      <c r="Q21" s="55" t="str">
        <f ca="1">IFERROR(IF(WEEKDAY(N21,2)=1,INT((N21-LOOKUP(N21,DATE(Système!a4nee(N21)+{-1;0;1},1,3)-WEEKDAY(DATE(Système!a4nee(N21)+{-1;0;1},1,3))+2))/7)+1,""),"")</f>
        <v/>
      </c>
    </row>
    <row r="22" spans="1:17" ht="27" customHeight="1">
      <c r="A22" s="53" t="str">
        <f t="shared" ca="1" si="0"/>
        <v>DIM</v>
      </c>
      <c r="B22" s="54">
        <f t="shared" ca="1" si="3"/>
        <v>45249</v>
      </c>
      <c r="C22" s="55" t="str">
        <f>IFERROR(IF(WEEKDAY(#REF!,2)=1,INT((#REF!-LOOKUP(#REF!,DATE(Système!a4nee(#REF!)+{-1;0;1},1,3)-WEEKDAY(DATE(Système!a4nee(#REF!)+{-1;0;1},1,3))+2))/7)+1,""),"")</f>
        <v/>
      </c>
      <c r="D22" s="55" t="str">
        <f>IFERROR(IF(WEEKDAY(#REF!,2)=1,INT((#REF!-LOOKUP(#REF!,DATE(Système!a4nee(#REF!)+{-1;0;1},1,3)-WEEKDAY(DATE(Système!a4nee(#REF!)+{-1;0;1},1,3))+2))/7)+1,""),"")</f>
        <v/>
      </c>
      <c r="E22" s="56" t="str">
        <f ca="1">IFERROR(IF(WEEKDAY(B22,2)=1,INT((B22-LOOKUP(B22,DATE(Système!a4nee(B22)+{-1;0;1},1,3)-WEEKDAY(DATE(Système!a4nee(B22)+{-1;0;1},1,3))+2))/7)+1,""),"")</f>
        <v/>
      </c>
      <c r="F22" s="50"/>
      <c r="G22" s="57" t="str">
        <f t="shared" ca="1" si="1"/>
        <v>MAR</v>
      </c>
      <c r="H22" s="54">
        <f t="shared" ca="1" si="4"/>
        <v>45279</v>
      </c>
      <c r="I22" s="55" t="str">
        <f>IFERROR(IF(WEEKDAY(#REF!,2)=1,INT((#REF!-LOOKUP(#REF!,DATE(Système!a4nee(#REF!)+{-1;0;1},1,3)-WEEKDAY(DATE(Système!a4nee(#REF!)+{-1;0;1},1,3))+2))/7)+1,""),"")</f>
        <v/>
      </c>
      <c r="J22" s="55" t="str">
        <f>IFERROR(IF(WEEKDAY(#REF!,2)=1,INT((#REF!-LOOKUP(#REF!,DATE(Système!a4nee(#REF!)+{-1;0;1},1,3)-WEEKDAY(DATE(Système!a4nee(#REF!)+{-1;0;1},1,3))+2))/7)+1,""),"")</f>
        <v/>
      </c>
      <c r="K22" s="55" t="str">
        <f ca="1">IFERROR(IF(WEEKDAY(H22,2)=1,INT((H22-LOOKUP(H22,DATE(Système!a4nee(H22)+{-1;0;1},1,3)-WEEKDAY(DATE(Système!a4nee(H22)+{-1;0;1},1,3))+2))/7)+1,""),"")</f>
        <v/>
      </c>
      <c r="L22" s="52"/>
      <c r="M22" s="53" t="str">
        <f t="shared" ca="1" si="2"/>
        <v>VEN</v>
      </c>
      <c r="N22" s="54">
        <f t="shared" ca="1" si="5"/>
        <v>45310</v>
      </c>
      <c r="O22" s="55" t="str">
        <f>IFERROR(IF(WEEKDAY(#REF!,2)=1,INT((#REF!-LOOKUP(#REF!,DATE(Système!a4nee(#REF!)+{-1;0;1},1,3)-WEEKDAY(DATE(Système!a4nee(#REF!)+{-1;0;1},1,3))+2))/7)+1,""),"")</f>
        <v/>
      </c>
      <c r="P22" s="55" t="str">
        <f>IFERROR(IF(WEEKDAY(#REF!,2)=1,INT((#REF!-LOOKUP(#REF!,DATE(Système!a4nee(#REF!)+{-1;0;1},1,3)-WEEKDAY(DATE(Système!a4nee(#REF!)+{-1;0;1},1,3))+2))/7)+1,""),"")</f>
        <v/>
      </c>
      <c r="Q22" s="55" t="str">
        <f ca="1">IFERROR(IF(WEEKDAY(N22,2)=1,INT((N22-LOOKUP(N22,DATE(Système!a4nee(N22)+{-1;0;1},1,3)-WEEKDAY(DATE(Système!a4nee(N22)+{-1;0;1},1,3))+2))/7)+1,""),"")</f>
        <v/>
      </c>
    </row>
    <row r="23" spans="1:17" ht="27" customHeight="1">
      <c r="A23" s="53" t="str">
        <f t="shared" ca="1" si="0"/>
        <v>LUN</v>
      </c>
      <c r="B23" s="54">
        <f t="shared" ca="1" si="3"/>
        <v>45250</v>
      </c>
      <c r="C23" s="55"/>
      <c r="D23" s="55"/>
      <c r="E23" s="55" t="s">
        <v>2972</v>
      </c>
      <c r="F23" s="50"/>
      <c r="G23" s="57" t="str">
        <f t="shared" ca="1" si="1"/>
        <v>MER</v>
      </c>
      <c r="H23" s="54">
        <f t="shared" ca="1" si="4"/>
        <v>45280</v>
      </c>
      <c r="I23" s="55"/>
      <c r="J23" s="55"/>
      <c r="K23" s="55"/>
      <c r="L23" s="52"/>
      <c r="M23" s="53" t="str">
        <f t="shared" ca="1" si="2"/>
        <v>SAM</v>
      </c>
      <c r="N23" s="54">
        <f t="shared" ca="1" si="5"/>
        <v>45311</v>
      </c>
      <c r="O23" s="55"/>
      <c r="P23" s="55"/>
      <c r="Q23" s="55"/>
    </row>
    <row r="24" spans="1:17" ht="27" customHeight="1">
      <c r="A24" s="53" t="str">
        <f t="shared" ca="1" si="0"/>
        <v>MAR</v>
      </c>
      <c r="B24" s="54">
        <f t="shared" ca="1" si="3"/>
        <v>45251</v>
      </c>
      <c r="C24" s="55"/>
      <c r="D24" s="55"/>
      <c r="E24" s="55" t="s">
        <v>2973</v>
      </c>
      <c r="F24" s="50"/>
      <c r="G24" s="57" t="str">
        <f t="shared" ca="1" si="1"/>
        <v>JEU</v>
      </c>
      <c r="H24" s="54">
        <f t="shared" ca="1" si="4"/>
        <v>45281</v>
      </c>
      <c r="I24" s="55"/>
      <c r="J24" s="55"/>
      <c r="K24" s="55"/>
      <c r="L24" s="52"/>
      <c r="M24" s="53" t="str">
        <f t="shared" ca="1" si="2"/>
        <v>DIM</v>
      </c>
      <c r="N24" s="54">
        <f t="shared" ca="1" si="5"/>
        <v>45312</v>
      </c>
      <c r="O24" s="55"/>
      <c r="P24" s="55"/>
      <c r="Q24" s="55"/>
    </row>
    <row r="25" spans="1:17" ht="27" customHeight="1">
      <c r="A25" s="53" t="str">
        <f t="shared" ca="1" si="0"/>
        <v>MER</v>
      </c>
      <c r="B25" s="54">
        <f t="shared" ca="1" si="3"/>
        <v>45252</v>
      </c>
      <c r="C25" s="55"/>
      <c r="D25" s="55"/>
      <c r="E25" s="55" t="s">
        <v>2974</v>
      </c>
      <c r="F25" s="50"/>
      <c r="G25" s="57" t="str">
        <f t="shared" ca="1" si="1"/>
        <v>VEN</v>
      </c>
      <c r="H25" s="54">
        <f t="shared" ca="1" si="4"/>
        <v>45282</v>
      </c>
      <c r="I25" s="55"/>
      <c r="J25" s="55"/>
      <c r="K25" s="55"/>
      <c r="L25" s="52"/>
      <c r="M25" s="53" t="str">
        <f t="shared" ca="1" si="2"/>
        <v>LUN</v>
      </c>
      <c r="N25" s="54">
        <f t="shared" ca="1" si="5"/>
        <v>45313</v>
      </c>
      <c r="O25" s="55"/>
      <c r="P25" s="55"/>
      <c r="Q25" s="55"/>
    </row>
    <row r="26" spans="1:17" ht="27" customHeight="1">
      <c r="A26" s="53" t="str">
        <f t="shared" ca="1" si="0"/>
        <v>JEU</v>
      </c>
      <c r="B26" s="54">
        <f t="shared" ca="1" si="3"/>
        <v>45253</v>
      </c>
      <c r="C26" s="55"/>
      <c r="D26" s="55"/>
      <c r="E26" s="55" t="s">
        <v>2975</v>
      </c>
      <c r="F26" s="50"/>
      <c r="G26" s="57" t="str">
        <f t="shared" ca="1" si="1"/>
        <v>SAM</v>
      </c>
      <c r="H26" s="54">
        <f t="shared" ca="1" si="4"/>
        <v>45283</v>
      </c>
      <c r="I26" s="55"/>
      <c r="J26" s="55"/>
      <c r="K26" s="55"/>
      <c r="L26" s="52"/>
      <c r="M26" s="53" t="str">
        <f t="shared" ca="1" si="2"/>
        <v>MAR</v>
      </c>
      <c r="N26" s="54">
        <f t="shared" ca="1" si="5"/>
        <v>45314</v>
      </c>
      <c r="O26" s="55"/>
      <c r="P26" s="55"/>
      <c r="Q26" s="55"/>
    </row>
    <row r="27" spans="1:17" ht="27" customHeight="1">
      <c r="A27" s="53" t="str">
        <f t="shared" ca="1" si="0"/>
        <v>VEN</v>
      </c>
      <c r="B27" s="54">
        <f t="shared" ca="1" si="3"/>
        <v>45254</v>
      </c>
      <c r="C27" s="55"/>
      <c r="D27" s="55"/>
      <c r="E27" s="55" t="s">
        <v>2976</v>
      </c>
      <c r="F27" s="50"/>
      <c r="G27" s="57" t="str">
        <f t="shared" ca="1" si="1"/>
        <v>DIM</v>
      </c>
      <c r="H27" s="54">
        <f t="shared" ca="1" si="4"/>
        <v>45284</v>
      </c>
      <c r="I27" s="55"/>
      <c r="J27" s="55"/>
      <c r="K27" s="55"/>
      <c r="L27" s="52"/>
      <c r="M27" s="53" t="str">
        <f t="shared" ca="1" si="2"/>
        <v>MER</v>
      </c>
      <c r="N27" s="54">
        <f t="shared" ca="1" si="5"/>
        <v>45315</v>
      </c>
      <c r="O27" s="55"/>
      <c r="P27" s="55"/>
      <c r="Q27" s="55"/>
    </row>
    <row r="28" spans="1:17" ht="27" customHeight="1">
      <c r="A28" s="53" t="str">
        <f t="shared" ca="1" si="0"/>
        <v>SAM</v>
      </c>
      <c r="B28" s="54">
        <f t="shared" ca="1" si="3"/>
        <v>45255</v>
      </c>
      <c r="C28" s="55"/>
      <c r="D28" s="55"/>
      <c r="E28" s="55" t="str">
        <f ca="1">IFERROR(IF(WEEKDAY(B28,2)=1,INT((B28-LOOKUP(B28,DATE(Système!a4nee(B28)+{-1;0;1},1,3)-WEEKDAY(DATE(Système!a4nee(B28)+{-1;0;1},1,3))+2))/7)+1,""),"")</f>
        <v/>
      </c>
      <c r="F28" s="50"/>
      <c r="G28" s="57" t="str">
        <f t="shared" ca="1" si="1"/>
        <v>LUN</v>
      </c>
      <c r="H28" s="54">
        <f t="shared" ca="1" si="4"/>
        <v>45285</v>
      </c>
      <c r="I28" s="55"/>
      <c r="J28" s="55"/>
      <c r="K28" s="55"/>
      <c r="L28" s="52"/>
      <c r="M28" s="53" t="str">
        <f t="shared" ca="1" si="2"/>
        <v>JEU</v>
      </c>
      <c r="N28" s="54">
        <f t="shared" ca="1" si="5"/>
        <v>45316</v>
      </c>
      <c r="O28" s="55"/>
      <c r="P28" s="55"/>
      <c r="Q28" s="55"/>
    </row>
    <row r="29" spans="1:17" ht="27" customHeight="1">
      <c r="A29" s="53" t="str">
        <f t="shared" ca="1" si="0"/>
        <v>DIM</v>
      </c>
      <c r="B29" s="54">
        <f t="shared" ca="1" si="3"/>
        <v>45256</v>
      </c>
      <c r="C29" s="55"/>
      <c r="D29" s="55"/>
      <c r="E29" s="55" t="str">
        <f ca="1">IFERROR(IF(WEEKDAY(B29,2)=1,INT((B29-LOOKUP(B29,DATE(Système!a4nee(B29)+{-1;0;1},1,3)-WEEKDAY(DATE(Système!a4nee(B29)+{-1;0;1},1,3))+2))/7)+1,""),"")</f>
        <v/>
      </c>
      <c r="F29" s="50"/>
      <c r="G29" s="57" t="str">
        <f t="shared" ca="1" si="1"/>
        <v>MAR</v>
      </c>
      <c r="H29" s="54">
        <f t="shared" ca="1" si="4"/>
        <v>45286</v>
      </c>
      <c r="I29" s="55"/>
      <c r="J29" s="55"/>
      <c r="K29" s="55"/>
      <c r="L29" s="52"/>
      <c r="M29" s="53" t="str">
        <f t="shared" ca="1" si="2"/>
        <v>VEN</v>
      </c>
      <c r="N29" s="54">
        <f t="shared" ca="1" si="5"/>
        <v>45317</v>
      </c>
      <c r="O29" s="55"/>
      <c r="P29" s="55"/>
      <c r="Q29" s="55"/>
    </row>
    <row r="30" spans="1:17" ht="27" customHeight="1">
      <c r="A30" s="53" t="str">
        <f t="shared" ca="1" si="0"/>
        <v>LUN</v>
      </c>
      <c r="B30" s="54">
        <f t="shared" ca="1" si="3"/>
        <v>45257</v>
      </c>
      <c r="C30" s="55"/>
      <c r="D30" s="55"/>
      <c r="E30" s="55"/>
      <c r="F30" s="50"/>
      <c r="G30" s="57" t="str">
        <f t="shared" ca="1" si="1"/>
        <v>MER</v>
      </c>
      <c r="H30" s="54">
        <f t="shared" ca="1" si="4"/>
        <v>45287</v>
      </c>
      <c r="I30" s="55"/>
      <c r="J30" s="55"/>
      <c r="K30" s="55"/>
      <c r="L30" s="52"/>
      <c r="M30" s="53" t="str">
        <f t="shared" ca="1" si="2"/>
        <v>SAM</v>
      </c>
      <c r="N30" s="54">
        <f t="shared" ca="1" si="5"/>
        <v>45318</v>
      </c>
      <c r="O30" s="55"/>
      <c r="P30" s="55"/>
      <c r="Q30" s="55"/>
    </row>
    <row r="31" spans="1:17" ht="27" customHeight="1">
      <c r="A31" s="53" t="str">
        <f t="shared" ca="1" si="0"/>
        <v>MAR</v>
      </c>
      <c r="B31" s="54">
        <f t="shared" ca="1" si="3"/>
        <v>45258</v>
      </c>
      <c r="C31" s="55"/>
      <c r="D31" s="55"/>
      <c r="E31" s="55" t="s">
        <v>2977</v>
      </c>
      <c r="F31" s="50"/>
      <c r="G31" s="57" t="str">
        <f t="shared" ca="1" si="1"/>
        <v>JEU</v>
      </c>
      <c r="H31" s="54">
        <f t="shared" ca="1" si="4"/>
        <v>45288</v>
      </c>
      <c r="I31" s="55"/>
      <c r="J31" s="55"/>
      <c r="K31" s="55"/>
      <c r="L31" s="52"/>
      <c r="M31" s="53" t="str">
        <f t="shared" ca="1" si="2"/>
        <v>DIM</v>
      </c>
      <c r="N31" s="54">
        <f t="shared" ca="1" si="5"/>
        <v>45319</v>
      </c>
      <c r="O31" s="55"/>
      <c r="P31" s="55"/>
      <c r="Q31" s="55"/>
    </row>
    <row r="32" spans="1:17" ht="27" customHeight="1">
      <c r="A32" s="53" t="str">
        <f t="shared" ca="1" si="0"/>
        <v>MER</v>
      </c>
      <c r="B32" s="54">
        <f ca="1">IF(B31=EOMONTH(B$4,0),"",B31+1)</f>
        <v>45259</v>
      </c>
      <c r="C32" s="55"/>
      <c r="D32" s="55"/>
      <c r="E32" s="55" t="s">
        <v>2978</v>
      </c>
      <c r="F32" s="50"/>
      <c r="G32" s="57" t="str">
        <f t="shared" ca="1" si="1"/>
        <v>VEN</v>
      </c>
      <c r="H32" s="54">
        <f ca="1">IF(H31=EOMONTH(H$4,0),"",H31+1)</f>
        <v>45289</v>
      </c>
      <c r="I32" s="55"/>
      <c r="J32" s="55"/>
      <c r="K32" s="55"/>
      <c r="L32" s="52"/>
      <c r="M32" s="53" t="str">
        <f t="shared" ca="1" si="2"/>
        <v>LUN</v>
      </c>
      <c r="N32" s="54">
        <f ca="1">IF(N31=EOMONTH(N$4,0),"",N31+1)</f>
        <v>45320</v>
      </c>
      <c r="O32" s="55"/>
      <c r="P32" s="55"/>
      <c r="Q32" s="55"/>
    </row>
    <row r="33" spans="1:17" ht="27" customHeight="1">
      <c r="A33" s="53" t="str">
        <f t="shared" ca="1" si="0"/>
        <v>JEU</v>
      </c>
      <c r="B33" s="54">
        <f ca="1">IFERROR(IF(B32=EOMONTH(B$4,0),"",B32+1),"")</f>
        <v>45260</v>
      </c>
      <c r="C33" s="55" t="str">
        <f>IFERROR(IF(WEEKDAY(#REF!,2)=1,INT((#REF!-LOOKUP(#REF!,DATE(Système!a4nee(#REF!)+{-1;0;1},1,3)-WEEKDAY(DATE(Système!a4nee(#REF!)+{-1;0;1},1,3))+2))/7)+1,""),"")</f>
        <v/>
      </c>
      <c r="D33" s="55" t="str">
        <f>IFERROR(IF(WEEKDAY(#REF!,2)=1,INT((#REF!-LOOKUP(#REF!,DATE(Système!a4nee(#REF!)+{-1;0;1},1,3)-WEEKDAY(DATE(Système!a4nee(#REF!)+{-1;0;1},1,3))+2))/7)+1,""),"")</f>
        <v/>
      </c>
      <c r="E33" s="56" t="str">
        <f ca="1">IFERROR(IF(WEEKDAY(B33,2)=1,INT((B33-LOOKUP(B33,DATE(Système!a4nee(B33)+{-1;0;1},1,3)-WEEKDAY(DATE(Système!a4nee(B33)+{-1;0;1},1,3))+2))/7)+1,""),"")</f>
        <v/>
      </c>
      <c r="F33" s="50"/>
      <c r="G33" s="57" t="str">
        <f t="shared" ca="1" si="1"/>
        <v>SAM</v>
      </c>
      <c r="H33" s="54">
        <f ca="1">IFERROR(IF(H32=EOMONTH(H$4,0),"",H32+1),"")</f>
        <v>45290</v>
      </c>
      <c r="I33" s="55" t="str">
        <f>IFERROR(IF(WEEKDAY(#REF!,2)=1,INT((#REF!-LOOKUP(#REF!,DATE(Système!a4nee(#REF!)+{-1;0;1},1,3)-WEEKDAY(DATE(Système!a4nee(#REF!)+{-1;0;1},1,3))+2))/7)+1,""),"")</f>
        <v/>
      </c>
      <c r="J33" s="55" t="str">
        <f>IFERROR(IF(WEEKDAY(#REF!,2)=1,INT((#REF!-LOOKUP(#REF!,DATE(Système!a4nee(#REF!)+{-1;0;1},1,3)-WEEKDAY(DATE(Système!a4nee(#REF!)+{-1;0;1},1,3))+2))/7)+1,""),"")</f>
        <v/>
      </c>
      <c r="K33" s="55" t="str">
        <f ca="1">IFERROR(IF(WEEKDAY(H33,2)=1,INT((H33-LOOKUP(H33,DATE(Système!a4nee(H33)+{-1;0;1},1,3)-WEEKDAY(DATE(Système!a4nee(H33)+{-1;0;1},1,3))+2))/7)+1,""),"")</f>
        <v/>
      </c>
      <c r="L33" s="52"/>
      <c r="M33" s="53" t="str">
        <f t="shared" ca="1" si="2"/>
        <v>MAR</v>
      </c>
      <c r="N33" s="54">
        <f ca="1">IFERROR(IF(N32=EOMONTH(N$4,0),"",N32+1),"")</f>
        <v>45321</v>
      </c>
      <c r="O33" s="55" t="str">
        <f>IFERROR(IF(WEEKDAY(#REF!,2)=1,INT((#REF!-LOOKUP(#REF!,DATE(Système!a4nee(#REF!)+{-1;0;1},1,3)-WEEKDAY(DATE(Système!a4nee(#REF!)+{-1;0;1},1,3))+2))/7)+1,""),"")</f>
        <v/>
      </c>
      <c r="P33" s="55" t="str">
        <f>IFERROR(IF(WEEKDAY(#REF!,2)=1,INT((#REF!-LOOKUP(#REF!,DATE(Système!a4nee(#REF!)+{-1;0;1},1,3)-WEEKDAY(DATE(Système!a4nee(#REF!)+{-1;0;1},1,3))+2))/7)+1,""),"")</f>
        <v/>
      </c>
      <c r="Q33" s="55" t="str">
        <f ca="1">IFERROR(IF(WEEKDAY(N33,2)=1,INT((N33-LOOKUP(N33,DATE(Système!a4nee(N33)+{-1;0;1},1,3)-WEEKDAY(DATE(Système!a4nee(N33)+{-1;0;1},1,3))+2))/7)+1,""),"")</f>
        <v/>
      </c>
    </row>
    <row r="34" spans="1:17" ht="27" customHeight="1" thickBot="1">
      <c r="A34" s="58" t="str">
        <f t="shared" ca="1" si="0"/>
        <v/>
      </c>
      <c r="B34" s="59" t="str">
        <f ca="1">IFERROR(IF(B33=EOMONTH(B$4,0),"",B33+1),"")</f>
        <v/>
      </c>
      <c r="C34" s="55" t="str">
        <f>IFERROR(IF(WEEKDAY(#REF!,2)=1,INT((#REF!-LOOKUP(#REF!,DATE(Système!a4nee(#REF!)+{-1;0;1},1,3)-WEEKDAY(DATE(Système!a4nee(#REF!)+{-1;0;1},1,3))+2))/7)+1,""),"")</f>
        <v/>
      </c>
      <c r="D34" s="60" t="str">
        <f>IFERROR(IF(WEEKDAY(#REF!,2)=1,INT((#REF!-LOOKUP(#REF!,DATE(Système!a4nee(#REF!)+{-1;0;1},1,3)-WEEKDAY(DATE(Système!a4nee(#REF!)+{-1;0;1},1,3))+2))/7)+1,""),"")</f>
        <v/>
      </c>
      <c r="E34" s="61" t="str">
        <f ca="1">IFERROR(IF(WEEKDAY(B34,2)=1,INT((B34-LOOKUP(B34,DATE(Système!a4nee(B34)+{-1;0;1},1,3)-WEEKDAY(DATE(Système!a4nee(B34)+{-1;0;1},1,3))+2))/7)+1,""),"")</f>
        <v/>
      </c>
      <c r="F34" s="62"/>
      <c r="G34" s="63" t="str">
        <f t="shared" ca="1" si="1"/>
        <v>DIM</v>
      </c>
      <c r="H34" s="59">
        <f ca="1">IFERROR(IF(H33=EOMONTH(H$4,0),"",H33+1),"")</f>
        <v>45291</v>
      </c>
      <c r="I34" s="55" t="str">
        <f>IFERROR(IF(WEEKDAY(#REF!,2)=1,INT((#REF!-LOOKUP(#REF!,DATE(Système!a4nee(#REF!)+{-1;0;1},1,3)-WEEKDAY(DATE(Système!a4nee(#REF!)+{-1;0;1},1,3))+2))/7)+1,""),"")</f>
        <v/>
      </c>
      <c r="J34" s="60" t="str">
        <f>IFERROR(IF(WEEKDAY(#REF!,2)=1,INT((#REF!-LOOKUP(#REF!,DATE(Système!a4nee(#REF!)+{-1;0;1},1,3)-WEEKDAY(DATE(Système!a4nee(#REF!)+{-1;0;1},1,3))+2))/7)+1,""),"")</f>
        <v/>
      </c>
      <c r="K34" s="60" t="str">
        <f ca="1">IFERROR(IF(WEEKDAY(H34,2)=1,INT((H34-LOOKUP(H34,DATE(Système!a4nee(H34)+{-1;0;1},1,3)-WEEKDAY(DATE(Système!a4nee(H34)+{-1;0;1},1,3))+2))/7)+1,""),"")</f>
        <v/>
      </c>
      <c r="L34" s="64"/>
      <c r="M34" s="58" t="str">
        <f t="shared" ca="1" si="2"/>
        <v>MER</v>
      </c>
      <c r="N34" s="59">
        <f ca="1">IFERROR(IF(N33=EOMONTH(N$4,0),"",N33+1),"")</f>
        <v>45322</v>
      </c>
      <c r="O34" s="55" t="str">
        <f>IFERROR(IF(WEEKDAY(#REF!,2)=1,INT((#REF!-LOOKUP(#REF!,DATE(Système!a4nee(#REF!)+{-1;0;1},1,3)-WEEKDAY(DATE(Système!a4nee(#REF!)+{-1;0;1},1,3))+2))/7)+1,""),"")</f>
        <v/>
      </c>
      <c r="P34" s="60" t="str">
        <f>IFERROR(IF(WEEKDAY(#REF!,2)=1,INT((#REF!-LOOKUP(#REF!,DATE(Système!a4nee(#REF!)+{-1;0;1},1,3)-WEEKDAY(DATE(Système!a4nee(#REF!)+{-1;0;1},1,3))+2))/7)+1,""),"")</f>
        <v/>
      </c>
      <c r="Q34" s="60" t="str">
        <f ca="1">IFERROR(IF(WEEKDAY(N34,2)=1,INT((N34-LOOKUP(N34,DATE(Système!a4nee(N34)+{-1;0;1},1,3)-WEEKDAY(DATE(Système!a4nee(N34)+{-1;0;1},1,3))+2))/7)+1,""),"")</f>
        <v/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E23">
    <cfRule type="expression" dxfId="57" priority="36">
      <formula>OR(TEXT(WEEKDAY(B23),"JJJJ")=Jours_chômés)</formula>
    </cfRule>
    <cfRule type="expression" dxfId="56" priority="37">
      <formula>OR(B23=Fériés)</formula>
    </cfRule>
  </conditionalFormatting>
  <conditionalFormatting sqref="E32">
    <cfRule type="expression" dxfId="55" priority="38">
      <formula>AND(A32="")</formula>
    </cfRule>
  </conditionalFormatting>
  <conditionalFormatting sqref="E24:E32">
    <cfRule type="expression" dxfId="54" priority="39">
      <formula>OR(TEXT(WEEKDAY(B24),"JJJJ")=Jours_chômés)</formula>
    </cfRule>
    <cfRule type="expression" dxfId="53" priority="40">
      <formula>OR(B24=Fériés)</formula>
    </cfRule>
  </conditionalFormatting>
  <conditionalFormatting sqref="K4:K34">
    <cfRule type="expression" dxfId="52" priority="41">
      <formula>OR(TEXT(WEEKDAY(H4),"JJJJ")=Jours_chômés)</formula>
    </cfRule>
    <cfRule type="expression" dxfId="51" priority="42">
      <formula>OR(H4=Fériés)</formula>
    </cfRule>
  </conditionalFormatting>
  <conditionalFormatting sqref="M4:N34">
    <cfRule type="expression" dxfId="50" priority="43">
      <formula>AND(M4=TODAY())</formula>
    </cfRule>
  </conditionalFormatting>
  <conditionalFormatting sqref="N32:N34">
    <cfRule type="expression" dxfId="49" priority="44">
      <formula>AND(M32="")</formula>
    </cfRule>
  </conditionalFormatting>
  <conditionalFormatting sqref="M32:M34">
    <cfRule type="expression" dxfId="48" priority="45">
      <formula>AND(M32="")</formula>
    </cfRule>
  </conditionalFormatting>
  <conditionalFormatting sqref="M2 M4:N34">
    <cfRule type="expression" dxfId="47" priority="46">
      <formula>AND(MONTH($B$4)/2&lt;&gt;INT(MONTH($B$4)/2))</formula>
    </cfRule>
    <cfRule type="expression" dxfId="46" priority="47">
      <formula>AND(MONTH($B$4)/2=INT(MONTH($B$4)/2))</formula>
    </cfRule>
  </conditionalFormatting>
  <conditionalFormatting sqref="A4:B34 G4:H34">
    <cfRule type="expression" dxfId="45" priority="48">
      <formula>AND(A4=TODAY())</formula>
    </cfRule>
  </conditionalFormatting>
  <conditionalFormatting sqref="E33:E34">
    <cfRule type="expression" dxfId="44" priority="49">
      <formula>AND(A33="")</formula>
    </cfRule>
  </conditionalFormatting>
  <conditionalFormatting sqref="B32:B34 H32:H34">
    <cfRule type="expression" dxfId="43" priority="50">
      <formula>AND(A32="")</formula>
    </cfRule>
  </conditionalFormatting>
  <conditionalFormatting sqref="G32:G34 A32:A34">
    <cfRule type="expression" dxfId="42" priority="51">
      <formula>AND(A32="")</formula>
    </cfRule>
  </conditionalFormatting>
  <conditionalFormatting sqref="E33:E34 E4:E22">
    <cfRule type="expression" dxfId="41" priority="52">
      <formula>OR(TEXT(WEEKDAY(B4),"JJJJ")=Jours_chômés)</formula>
    </cfRule>
    <cfRule type="expression" dxfId="40" priority="53">
      <formula>OR(B4=Fériés)</formula>
    </cfRule>
  </conditionalFormatting>
  <conditionalFormatting sqref="G2 G4:H34">
    <cfRule type="expression" dxfId="39" priority="54">
      <formula>AND(MONTH($H$4)/2=INT(MONTH($H$4)/2))</formula>
    </cfRule>
    <cfRule type="expression" dxfId="38" priority="55">
      <formula>AND(MONTH($H$4)/2&lt;&gt;INT(MONTH($H$4)/2))</formula>
    </cfRule>
  </conditionalFormatting>
  <conditionalFormatting sqref="A2 A4:B34">
    <cfRule type="expression" dxfId="37" priority="56">
      <formula>AND(MONTH($B$4)/2&lt;&gt;INT(MONTH($B$4)/2))</formula>
    </cfRule>
    <cfRule type="expression" dxfId="36" priority="57">
      <formula>AND(MONTH($B$4)/2=INT(MONTH($B$4)/2))</formula>
    </cfRule>
  </conditionalFormatting>
  <conditionalFormatting sqref="K32:K34">
    <cfRule type="expression" dxfId="35" priority="58">
      <formula>AND(G32="")</formula>
    </cfRule>
  </conditionalFormatting>
  <conditionalFormatting sqref="D4:D34">
    <cfRule type="expression" dxfId="34" priority="21">
      <formula>OR(TEXT(WEEKDAY(B4),"JJJJ")=Jours_chômés)</formula>
    </cfRule>
    <cfRule type="expression" dxfId="33" priority="22">
      <formula>OR(A4=Fériés)</formula>
    </cfRule>
  </conditionalFormatting>
  <conditionalFormatting sqref="D32:D34">
    <cfRule type="expression" dxfId="32" priority="23">
      <formula>AND(A32="")</formula>
    </cfRule>
  </conditionalFormatting>
  <conditionalFormatting sqref="C4:C34">
    <cfRule type="expression" dxfId="31" priority="18">
      <formula>OR(TEXT(WEEKDAY(B4),"JJJJ")=Jours_chômés)</formula>
    </cfRule>
    <cfRule type="expression" dxfId="30" priority="19">
      <formula>OR(A4=Fériés)</formula>
    </cfRule>
  </conditionalFormatting>
  <conditionalFormatting sqref="J4:J34">
    <cfRule type="expression" dxfId="29" priority="15">
      <formula>OR(TEXT(WEEKDAY(H4),"JJJJ")=Jours_chômés)</formula>
    </cfRule>
    <cfRule type="expression" dxfId="28" priority="16">
      <formula>OR(G4=Fériés)</formula>
    </cfRule>
  </conditionalFormatting>
  <conditionalFormatting sqref="J32:J34">
    <cfRule type="expression" dxfId="27" priority="17">
      <formula>AND(G32="")</formula>
    </cfRule>
  </conditionalFormatting>
  <conditionalFormatting sqref="I4:I33">
    <cfRule type="expression" dxfId="26" priority="13">
      <formula>OR(TEXT(WEEKDAY(H4),"JJJJ")=Jours_chômés)</formula>
    </cfRule>
    <cfRule type="expression" dxfId="25" priority="14">
      <formula>OR(G4=Fériés)</formula>
    </cfRule>
  </conditionalFormatting>
  <conditionalFormatting sqref="Q4:Q34">
    <cfRule type="expression" dxfId="24" priority="10">
      <formula>OR(TEXT(WEEKDAY(N4),"JJJJ")=Jours_chômés)</formula>
    </cfRule>
    <cfRule type="expression" dxfId="23" priority="11">
      <formula>OR(N4=Fériés)</formula>
    </cfRule>
  </conditionalFormatting>
  <conditionalFormatting sqref="Q32:Q34">
    <cfRule type="expression" dxfId="22" priority="12">
      <formula>AND(M32="")</formula>
    </cfRule>
  </conditionalFormatting>
  <conditionalFormatting sqref="P4:P34">
    <cfRule type="expression" dxfId="21" priority="7">
      <formula>OR(TEXT(WEEKDAY(N4),"JJJJ")=Jours_chômés)</formula>
    </cfRule>
    <cfRule type="expression" dxfId="20" priority="8">
      <formula>OR(M4=Fériés)</formula>
    </cfRule>
  </conditionalFormatting>
  <conditionalFormatting sqref="P32:P34">
    <cfRule type="expression" dxfId="19" priority="9">
      <formula>AND(M32="")</formula>
    </cfRule>
  </conditionalFormatting>
  <conditionalFormatting sqref="O34">
    <cfRule type="expression" dxfId="18" priority="6">
      <formula>AND(M33="")</formula>
    </cfRule>
  </conditionalFormatting>
  <conditionalFormatting sqref="O4:O34">
    <cfRule type="expression" dxfId="17" priority="4">
      <formula>OR(TEXT(WEEKDAY(N4),"JJJJ")=Jours_chômés)</formula>
    </cfRule>
    <cfRule type="expression" dxfId="16" priority="5">
      <formula>OR(M4=Fériés)</formula>
    </cfRule>
  </conditionalFormatting>
  <conditionalFormatting sqref="I34">
    <cfRule type="expression" dxfId="15" priority="3">
      <formula>AND(G33="")</formula>
    </cfRule>
  </conditionalFormatting>
  <conditionalFormatting sqref="I34">
    <cfRule type="expression" dxfId="14" priority="1">
      <formula>OR(TEXT(WEEKDAY(H34),"JJJJ")=Jours_chômés)</formula>
    </cfRule>
    <cfRule type="expression" dxfId="13" priority="2">
      <formula>OR(G34=Fériés)</formula>
    </cfRule>
  </conditionalFormatting>
  <conditionalFormatting sqref="C34">
    <cfRule type="expression" dxfId="0" priority="59">
      <formula>AND(XEV34="")</formula>
    </cfRule>
  </conditionalFormatting>
  <printOptions horizontalCentered="1" verticalCentered="1"/>
  <pageMargins left="0" right="0" top="0" bottom="0" header="0.511811023622047" footer="0.511811023622047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4A54E-5240-471C-8D3F-336B9052559A}">
  <sheetPr codeName="Feuil2"/>
  <dimension ref="A1:I34"/>
  <sheetViews>
    <sheetView workbookViewId="0">
      <selection activeCell="G2" sqref="G2"/>
    </sheetView>
  </sheetViews>
  <sheetFormatPr baseColWidth="10" defaultRowHeight="14.4"/>
  <cols>
    <col min="6" max="6" width="18.6640625" customWidth="1"/>
    <col min="9" max="9" width="31.109375" customWidth="1"/>
  </cols>
  <sheetData>
    <row r="1" spans="1:9">
      <c r="A1" s="67" t="s">
        <v>2960</v>
      </c>
      <c r="B1" s="67"/>
      <c r="C1" s="67"/>
      <c r="D1" s="67"/>
      <c r="E1" s="67"/>
      <c r="F1" s="67"/>
    </row>
    <row r="2" spans="1:9" ht="123.6" customHeight="1">
      <c r="A2" s="67"/>
      <c r="B2" s="67"/>
      <c r="C2" s="67"/>
      <c r="D2" s="67"/>
      <c r="E2" s="67"/>
      <c r="F2" s="67"/>
      <c r="I2" s="68" t="s">
        <v>2979</v>
      </c>
    </row>
    <row r="3" spans="1:9">
      <c r="A3" s="69" t="str">
        <f ca="1">UPPER(TEXT(DATE(Système!$A$4,MONTH(1&amp;Système!$A$2)-1,1),"MMMM AAAA"))</f>
        <v>NOVEMBRE 2023</v>
      </c>
      <c r="B3" s="69"/>
      <c r="C3" s="69"/>
      <c r="D3" s="70"/>
      <c r="E3" s="71" t="str">
        <f ca="1">UPPER(TEXT(DATE(Système!$A$4,MONTH(1&amp;Système!$A$2),1),"MMMM AAAA"))</f>
        <v>DÉCEMBRE 2023</v>
      </c>
      <c r="F3" s="71"/>
      <c r="G3" s="71"/>
      <c r="H3" t="s">
        <v>2980</v>
      </c>
    </row>
    <row r="4" spans="1:9">
      <c r="A4" s="72" t="str">
        <f t="shared" ref="A4:A34" ca="1" si="0">UPPER(TEXT(B4,"jjj"))</f>
        <v>MER</v>
      </c>
      <c r="B4" s="54">
        <f ca="1">DATE(Système!A4,MONTH(1&amp;Système!A2)-1,1)</f>
        <v>45231</v>
      </c>
      <c r="C4" s="73" t="str">
        <f ca="1">IFERROR(IF(WEEKDAY(B4,2)=1,INT((B4-LOOKUP(B4,DATE(Système!a4nee(B4)+{-1;0;1},1,3)-WEEKDAY(DATE(Système!a4nee(B4)+{-1;0;1},1,3))+2))/7)+1,""),"")</f>
        <v/>
      </c>
      <c r="D4" s="74"/>
      <c r="E4" s="72" t="str">
        <f ca="1">UPPER(TEXT(F4,"jjj"))</f>
        <v>VEN</v>
      </c>
      <c r="F4" s="54">
        <f ca="1">DATE(Système!A4,MONTH(1&amp;Système!A2),1)</f>
        <v>45261</v>
      </c>
      <c r="G4" s="75" t="str">
        <f ca="1">IFERROR(IF(WEEKDAY(F4,2)=1,INT((F4-LOOKUP(F4,DATE(Système!a4nee(F4)+{-1;0;1},1,3)-WEEKDAY(DATE(Système!a4nee(F4)+{-1;0;1},1,3))+2))/7)+1,""),"")</f>
        <v/>
      </c>
      <c r="H4" t="s">
        <v>2981</v>
      </c>
    </row>
    <row r="5" spans="1:9">
      <c r="A5" s="72" t="str">
        <f t="shared" ca="1" si="0"/>
        <v>JEU</v>
      </c>
      <c r="B5" s="54">
        <f t="shared" ref="B5:B31" ca="1" si="1">B4+1</f>
        <v>45232</v>
      </c>
      <c r="C5" s="73" t="str">
        <f ca="1">IFERROR(IF(WEEKDAY(B5,2)=1,INT((B5-LOOKUP(B5,DATE(Système!a4nee(B5)+{-1;0;1},1,3)-WEEKDAY(DATE(Système!a4nee(B5)+{-1;0;1},1,3))+2))/7)+1,""),"")</f>
        <v/>
      </c>
      <c r="D5" s="74"/>
      <c r="E5" s="72" t="str">
        <f ca="1">UPPER(TEXT(F5,"jjj"))</f>
        <v>SAM</v>
      </c>
      <c r="F5" s="54">
        <f ca="1">F4+1</f>
        <v>45262</v>
      </c>
      <c r="G5" s="75" t="str">
        <f ca="1">IFERROR(IF(WEEKDAY(F5,2)=1,INT((F5-LOOKUP(F5,DATE(Système!a4nee(F5)+{-1;0;1},1,3)-WEEKDAY(DATE(Système!a4nee(F5)+{-1;0;1},1,3))+2))/7)+1,""),"")</f>
        <v/>
      </c>
      <c r="H5" t="s">
        <v>2982</v>
      </c>
    </row>
    <row r="6" spans="1:9">
      <c r="A6" s="72" t="str">
        <f t="shared" ca="1" si="0"/>
        <v>VEN</v>
      </c>
      <c r="B6" s="54">
        <f t="shared" ca="1" si="1"/>
        <v>45233</v>
      </c>
      <c r="C6" s="73" t="str">
        <f ca="1">IFERROR(IF(WEEKDAY(B6,2)=1,INT((B6-LOOKUP(B6,DATE(Système!a4nee(B6)+{-1;0;1},1,3)-WEEKDAY(DATE(Système!a4nee(B6)+{-1;0;1},1,3))+2))/7)+1,""),"")</f>
        <v/>
      </c>
      <c r="D6" s="74"/>
      <c r="E6" s="72" t="str">
        <f ca="1">UPPER(TEXT(F6,"jjj"))</f>
        <v>DIM</v>
      </c>
      <c r="F6" s="54">
        <f ca="1">F5+1</f>
        <v>45263</v>
      </c>
      <c r="G6" s="75" t="str">
        <f ca="1">IFERROR(IF(WEEKDAY(F6,2)=1,INT((F6-LOOKUP(F6,DATE(Système!a4nee(F6)+{-1;0;1},1,3)-WEEKDAY(DATE(Système!a4nee(F6)+{-1;0;1},1,3))+2))/7)+1,""),"")</f>
        <v/>
      </c>
      <c r="H6" t="s">
        <v>2983</v>
      </c>
    </row>
    <row r="7" spans="1:9">
      <c r="A7" s="72" t="str">
        <f t="shared" ca="1" si="0"/>
        <v>SAM</v>
      </c>
      <c r="B7" s="54">
        <f t="shared" ca="1" si="1"/>
        <v>45234</v>
      </c>
      <c r="C7" s="73" t="str">
        <f ca="1">IFERROR(IF(WEEKDAY(B7,2)=1,INT((B7-LOOKUP(B7,DATE(Système!a4nee(B7)+{-1;0;1},1,3)-WEEKDAY(DATE(Système!a4nee(B7)+{-1;0;1},1,3))+2))/7)+1,""),"")</f>
        <v/>
      </c>
      <c r="D7" s="74"/>
      <c r="E7" s="72" t="str">
        <f ca="1">UPPER(TEXT(F7,"jjj"))</f>
        <v>LUN</v>
      </c>
      <c r="F7" s="54">
        <f ca="1">F6+1</f>
        <v>45264</v>
      </c>
      <c r="G7" s="75" t="str">
        <f ca="1">IFERROR(IF(WEEKDAY(F7,2)=1,INT((F7-LOOKUP(F7,DATE(Système!a4nee(F7)+{-1;0;1},1,3)-WEEKDAY(DATE(Système!a4nee(F7)+{-1;0;1},1,3))+2))/7)+1,""),"")</f>
        <v/>
      </c>
      <c r="H7" t="s">
        <v>2984</v>
      </c>
    </row>
    <row r="8" spans="1:9" ht="61.2">
      <c r="A8" s="72" t="str">
        <f t="shared" ca="1" si="0"/>
        <v>DIM</v>
      </c>
      <c r="B8" s="54">
        <f t="shared" ca="1" si="1"/>
        <v>45235</v>
      </c>
      <c r="C8" s="73" t="s">
        <v>2980</v>
      </c>
      <c r="D8" s="74" t="s">
        <v>2985</v>
      </c>
      <c r="E8" s="72" t="s">
        <v>2986</v>
      </c>
      <c r="F8" s="54" t="s">
        <v>2987</v>
      </c>
      <c r="G8" s="75" t="s">
        <v>2988</v>
      </c>
    </row>
    <row r="9" spans="1:9">
      <c r="A9" s="72" t="str">
        <f t="shared" ca="1" si="0"/>
        <v>LUN</v>
      </c>
      <c r="B9" s="54">
        <f t="shared" ca="1" si="1"/>
        <v>45236</v>
      </c>
      <c r="C9" s="73" t="str">
        <f ca="1">IFERROR(IF(WEEKDAY(B9,2)=1,INT((B9-LOOKUP(B9,DATE(Système!a4nee(B9)+{-1;0;1},1,3)-WEEKDAY(DATE(Système!a4nee(B9)+{-1;0;1},1,3))+2))/7)+1,""),"")</f>
        <v/>
      </c>
      <c r="D9" s="74"/>
      <c r="E9" s="72" t="e">
        <f t="shared" ref="E9:E34" si="2">UPPER(TEXT(F9,"jjj"))</f>
        <v>#VALUE!</v>
      </c>
      <c r="F9" s="54" t="e">
        <f t="shared" ref="F9:F31" si="3">F8+1</f>
        <v>#VALUE!</v>
      </c>
      <c r="G9" s="75" t="str">
        <f>IFERROR(IF(WEEKDAY(F9,2)=1,INT((F9-LOOKUP(F9,DATE(Système!a4nee(F9)+{-1;0;1},1,3)-WEEKDAY(DATE(Système!a4nee(F9)+{-1;0;1},1,3))+2))/7)+1,""),"")</f>
        <v/>
      </c>
    </row>
    <row r="10" spans="1:9">
      <c r="A10" s="72" t="str">
        <f t="shared" ca="1" si="0"/>
        <v>MAR</v>
      </c>
      <c r="B10" s="54">
        <f t="shared" ca="1" si="1"/>
        <v>45237</v>
      </c>
      <c r="C10" s="73" t="str">
        <f ca="1">IFERROR(IF(WEEKDAY(B10,2)=1,INT((B10-LOOKUP(B10,DATE(Système!a4nee(B10)+{-1;0;1},1,3)-WEEKDAY(DATE(Système!a4nee(B10)+{-1;0;1},1,3))+2))/7)+1,""),"")</f>
        <v/>
      </c>
      <c r="D10" s="74"/>
      <c r="E10" s="72" t="e">
        <f t="shared" si="2"/>
        <v>#VALUE!</v>
      </c>
      <c r="F10" s="54" t="e">
        <f t="shared" si="3"/>
        <v>#VALUE!</v>
      </c>
      <c r="G10" s="75" t="str">
        <f>IFERROR(IF(WEEKDAY(F10,2)=1,INT((F10-LOOKUP(F10,DATE(Système!a4nee(F10)+{-1;0;1},1,3)-WEEKDAY(DATE(Système!a4nee(F10)+{-1;0;1},1,3))+2))/7)+1,""),"")</f>
        <v/>
      </c>
    </row>
    <row r="11" spans="1:9">
      <c r="A11" s="72" t="str">
        <f t="shared" ca="1" si="0"/>
        <v>MER</v>
      </c>
      <c r="B11" s="54">
        <f t="shared" ca="1" si="1"/>
        <v>45238</v>
      </c>
      <c r="C11" s="73" t="str">
        <f ca="1">IFERROR(IF(WEEKDAY(B11,2)=1,INT((B11-LOOKUP(B11,DATE(Système!a4nee(B11)+{-1;0;1},1,3)-WEEKDAY(DATE(Système!a4nee(B11)+{-1;0;1},1,3))+2))/7)+1,""),"")</f>
        <v/>
      </c>
      <c r="D11" s="74"/>
      <c r="E11" s="72" t="e">
        <f t="shared" si="2"/>
        <v>#VALUE!</v>
      </c>
      <c r="F11" s="54" t="e">
        <f t="shared" si="3"/>
        <v>#VALUE!</v>
      </c>
      <c r="G11" s="75" t="str">
        <f>IFERROR(IF(WEEKDAY(F11,2)=1,INT((F11-LOOKUP(F11,DATE(Système!a4nee(F11)+{-1;0;1},1,3)-WEEKDAY(DATE(Système!a4nee(F11)+{-1;0;1},1,3))+2))/7)+1,""),"")</f>
        <v/>
      </c>
    </row>
    <row r="12" spans="1:9">
      <c r="A12" s="72" t="str">
        <f t="shared" ca="1" si="0"/>
        <v>JEU</v>
      </c>
      <c r="B12" s="54">
        <f t="shared" ca="1" si="1"/>
        <v>45239</v>
      </c>
      <c r="C12" s="73" t="str">
        <f ca="1">IFERROR(IF(WEEKDAY(B12,2)=1,INT((B12-LOOKUP(B12,DATE(Système!a4nee(B12)+{-1;0;1},1,3)-WEEKDAY(DATE(Système!a4nee(B12)+{-1;0;1},1,3))+2))/7)+1,""),"")</f>
        <v/>
      </c>
      <c r="D12" s="74"/>
      <c r="E12" s="72" t="e">
        <f t="shared" si="2"/>
        <v>#VALUE!</v>
      </c>
      <c r="F12" s="54" t="e">
        <f t="shared" si="3"/>
        <v>#VALUE!</v>
      </c>
      <c r="G12" s="75" t="str">
        <f>IFERROR(IF(WEEKDAY(F12,2)=1,INT((F12-LOOKUP(F12,DATE(Système!a4nee(F12)+{-1;0;1},1,3)-WEEKDAY(DATE(Système!a4nee(F12)+{-1;0;1},1,3))+2))/7)+1,""),"")</f>
        <v/>
      </c>
    </row>
    <row r="13" spans="1:9">
      <c r="A13" s="72" t="str">
        <f t="shared" ca="1" si="0"/>
        <v>VEN</v>
      </c>
      <c r="B13" s="54">
        <f t="shared" ca="1" si="1"/>
        <v>45240</v>
      </c>
      <c r="C13" s="73" t="str">
        <f ca="1">IFERROR(IF(WEEKDAY(B13,2)=1,INT((B13-LOOKUP(B13,DATE(Système!a4nee(B13)+{-1;0;1},1,3)-WEEKDAY(DATE(Système!a4nee(B13)+{-1;0;1},1,3))+2))/7)+1,""),"")</f>
        <v/>
      </c>
      <c r="D13" s="74"/>
      <c r="E13" s="72" t="e">
        <f t="shared" si="2"/>
        <v>#VALUE!</v>
      </c>
      <c r="F13" s="54" t="e">
        <f t="shared" si="3"/>
        <v>#VALUE!</v>
      </c>
      <c r="G13" s="75" t="str">
        <f>IFERROR(IF(WEEKDAY(F13,2)=1,INT((F13-LOOKUP(F13,DATE(Système!a4nee(F13)+{-1;0;1},1,3)-WEEKDAY(DATE(Système!a4nee(F13)+{-1;0;1},1,3))+2))/7)+1,""),"")</f>
        <v/>
      </c>
    </row>
    <row r="14" spans="1:9">
      <c r="A14" s="72" t="str">
        <f t="shared" ca="1" si="0"/>
        <v>SAM</v>
      </c>
      <c r="B14" s="54">
        <f t="shared" ca="1" si="1"/>
        <v>45241</v>
      </c>
      <c r="C14" s="73" t="str">
        <f ca="1">IFERROR(IF(WEEKDAY(B14,2)=1,INT((B14-LOOKUP(B14,DATE(Système!a4nee(B14)+{-1;0;1},1,3)-WEEKDAY(DATE(Système!a4nee(B14)+{-1;0;1},1,3))+2))/7)+1,""),"")</f>
        <v/>
      </c>
      <c r="D14" s="74"/>
      <c r="E14" s="72" t="e">
        <f t="shared" si="2"/>
        <v>#VALUE!</v>
      </c>
      <c r="F14" s="54" t="e">
        <f t="shared" si="3"/>
        <v>#VALUE!</v>
      </c>
      <c r="G14" s="75" t="str">
        <f>IFERROR(IF(WEEKDAY(F14,2)=1,INT((F14-LOOKUP(F14,DATE(Système!a4nee(F14)+{-1;0;1},1,3)-WEEKDAY(DATE(Système!a4nee(F14)+{-1;0;1},1,3))+2))/7)+1,""),"")</f>
        <v/>
      </c>
    </row>
    <row r="15" spans="1:9">
      <c r="A15" s="72" t="str">
        <f t="shared" ca="1" si="0"/>
        <v>DIM</v>
      </c>
      <c r="B15" s="54">
        <f t="shared" ca="1" si="1"/>
        <v>45242</v>
      </c>
      <c r="C15" s="73" t="str">
        <f ca="1">IFERROR(IF(WEEKDAY(B15,2)=1,INT((B15-LOOKUP(B15,DATE(Système!a4nee(B15)+{-1;0;1},1,3)-WEEKDAY(DATE(Système!a4nee(B15)+{-1;0;1},1,3))+2))/7)+1,""),"")</f>
        <v/>
      </c>
      <c r="D15" s="74"/>
      <c r="E15" s="72" t="e">
        <f t="shared" si="2"/>
        <v>#VALUE!</v>
      </c>
      <c r="F15" s="54" t="e">
        <f t="shared" si="3"/>
        <v>#VALUE!</v>
      </c>
      <c r="G15" s="75" t="str">
        <f>IFERROR(IF(WEEKDAY(F15,2)=1,INT((F15-LOOKUP(F15,DATE(Système!a4nee(F15)+{-1;0;1},1,3)-WEEKDAY(DATE(Système!a4nee(F15)+{-1;0;1},1,3))+2))/7)+1,""),"")</f>
        <v/>
      </c>
    </row>
    <row r="16" spans="1:9">
      <c r="A16" s="72" t="str">
        <f t="shared" ca="1" si="0"/>
        <v>LUN</v>
      </c>
      <c r="B16" s="54">
        <f t="shared" ca="1" si="1"/>
        <v>45243</v>
      </c>
      <c r="C16" s="73" t="str">
        <f ca="1">IFERROR(IF(WEEKDAY(B16,2)=1,INT((B16-LOOKUP(B16,DATE(Système!a4nee(B16)+{-1;0;1},1,3)-WEEKDAY(DATE(Système!a4nee(B16)+{-1;0;1},1,3))+2))/7)+1,""),"")</f>
        <v/>
      </c>
      <c r="D16" s="74"/>
      <c r="E16" s="72" t="e">
        <f t="shared" si="2"/>
        <v>#VALUE!</v>
      </c>
      <c r="F16" s="54" t="e">
        <f t="shared" si="3"/>
        <v>#VALUE!</v>
      </c>
      <c r="G16" s="75" t="str">
        <f>IFERROR(IF(WEEKDAY(F16,2)=1,INT((F16-LOOKUP(F16,DATE(Système!a4nee(F16)+{-1;0;1},1,3)-WEEKDAY(DATE(Système!a4nee(F16)+{-1;0;1},1,3))+2))/7)+1,""),"")</f>
        <v/>
      </c>
    </row>
    <row r="17" spans="1:7">
      <c r="A17" s="72" t="str">
        <f t="shared" ca="1" si="0"/>
        <v>MAR</v>
      </c>
      <c r="B17" s="54">
        <f t="shared" ca="1" si="1"/>
        <v>45244</v>
      </c>
      <c r="C17" s="73" t="str">
        <f ca="1">IFERROR(IF(WEEKDAY(B17,2)=1,INT((B17-LOOKUP(B17,DATE(Système!a4nee(B17)+{-1;0;1},1,3)-WEEKDAY(DATE(Système!a4nee(B17)+{-1;0;1},1,3))+2))/7)+1,""),"")</f>
        <v/>
      </c>
      <c r="D17" s="74"/>
      <c r="E17" s="72" t="e">
        <f t="shared" si="2"/>
        <v>#VALUE!</v>
      </c>
      <c r="F17" s="54" t="e">
        <f t="shared" si="3"/>
        <v>#VALUE!</v>
      </c>
      <c r="G17" s="75" t="str">
        <f>IFERROR(IF(WEEKDAY(F17,2)=1,INT((F17-LOOKUP(F17,DATE(Système!a4nee(F17)+{-1;0;1},1,3)-WEEKDAY(DATE(Système!a4nee(F17)+{-1;0;1},1,3))+2))/7)+1,""),"")</f>
        <v/>
      </c>
    </row>
    <row r="18" spans="1:7">
      <c r="A18" s="72" t="str">
        <f t="shared" ca="1" si="0"/>
        <v>MER</v>
      </c>
      <c r="B18" s="54">
        <f t="shared" ca="1" si="1"/>
        <v>45245</v>
      </c>
      <c r="C18" s="73" t="str">
        <f ca="1">IFERROR(IF(WEEKDAY(B18,2)=1,INT((B18-LOOKUP(B18,DATE(Système!a4nee(B18)+{-1;0;1},1,3)-WEEKDAY(DATE(Système!a4nee(B18)+{-1;0;1},1,3))+2))/7)+1,""),"")</f>
        <v/>
      </c>
      <c r="D18" s="74"/>
      <c r="E18" s="72" t="e">
        <f t="shared" si="2"/>
        <v>#VALUE!</v>
      </c>
      <c r="F18" s="54" t="e">
        <f t="shared" si="3"/>
        <v>#VALUE!</v>
      </c>
      <c r="G18" s="75" t="str">
        <f>IFERROR(IF(WEEKDAY(F18,2)=1,INT((F18-LOOKUP(F18,DATE(Système!a4nee(F18)+{-1;0;1},1,3)-WEEKDAY(DATE(Système!a4nee(F18)+{-1;0;1},1,3))+2))/7)+1,""),"")</f>
        <v/>
      </c>
    </row>
    <row r="19" spans="1:7">
      <c r="A19" s="72" t="str">
        <f t="shared" ca="1" si="0"/>
        <v>JEU</v>
      </c>
      <c r="B19" s="54">
        <f t="shared" ca="1" si="1"/>
        <v>45246</v>
      </c>
      <c r="C19" s="73" t="str">
        <f ca="1">IFERROR(IF(WEEKDAY(B19,2)=1,INT((B19-LOOKUP(B19,DATE(Système!a4nee(B19)+{-1;0;1},1,3)-WEEKDAY(DATE(Système!a4nee(B19)+{-1;0;1},1,3))+2))/7)+1,""),"")</f>
        <v/>
      </c>
      <c r="D19" s="74"/>
      <c r="E19" s="72" t="e">
        <f t="shared" si="2"/>
        <v>#VALUE!</v>
      </c>
      <c r="F19" s="54" t="e">
        <f t="shared" si="3"/>
        <v>#VALUE!</v>
      </c>
      <c r="G19" s="75" t="str">
        <f>IFERROR(IF(WEEKDAY(F19,2)=1,INT((F19-LOOKUP(F19,DATE(Système!a4nee(F19)+{-1;0;1},1,3)-WEEKDAY(DATE(Système!a4nee(F19)+{-1;0;1},1,3))+2))/7)+1,""),"")</f>
        <v/>
      </c>
    </row>
    <row r="20" spans="1:7">
      <c r="A20" s="72" t="str">
        <f t="shared" ca="1" si="0"/>
        <v>VEN</v>
      </c>
      <c r="B20" s="54">
        <f t="shared" ca="1" si="1"/>
        <v>45247</v>
      </c>
      <c r="C20" s="73" t="str">
        <f ca="1">IFERROR(IF(WEEKDAY(B20,2)=1,INT((B20-LOOKUP(B20,DATE(Système!a4nee(B20)+{-1;0;1},1,3)-WEEKDAY(DATE(Système!a4nee(B20)+{-1;0;1},1,3))+2))/7)+1,""),"")</f>
        <v/>
      </c>
      <c r="D20" s="74"/>
      <c r="E20" s="72" t="e">
        <f t="shared" si="2"/>
        <v>#VALUE!</v>
      </c>
      <c r="F20" s="54" t="e">
        <f t="shared" si="3"/>
        <v>#VALUE!</v>
      </c>
      <c r="G20" s="75" t="str">
        <f>IFERROR(IF(WEEKDAY(F20,2)=1,INT((F20-LOOKUP(F20,DATE(Système!a4nee(F20)+{-1;0;1},1,3)-WEEKDAY(DATE(Système!a4nee(F20)+{-1;0;1},1,3))+2))/7)+1,""),"")</f>
        <v/>
      </c>
    </row>
    <row r="21" spans="1:7">
      <c r="A21" s="72" t="str">
        <f t="shared" ca="1" si="0"/>
        <v>SAM</v>
      </c>
      <c r="B21" s="54">
        <f t="shared" ca="1" si="1"/>
        <v>45248</v>
      </c>
      <c r="C21" s="73" t="str">
        <f ca="1">IFERROR(IF(WEEKDAY(B21,2)=1,INT((B21-LOOKUP(B21,DATE(Système!a4nee(B21)+{-1;0;1},1,3)-WEEKDAY(DATE(Système!a4nee(B21)+{-1;0;1},1,3))+2))/7)+1,""),"")</f>
        <v/>
      </c>
      <c r="D21" s="74"/>
      <c r="E21" s="72" t="e">
        <f t="shared" si="2"/>
        <v>#VALUE!</v>
      </c>
      <c r="F21" s="54" t="e">
        <f t="shared" si="3"/>
        <v>#VALUE!</v>
      </c>
      <c r="G21" s="75" t="str">
        <f>IFERROR(IF(WEEKDAY(F21,2)=1,INT((F21-LOOKUP(F21,DATE(Système!a4nee(F21)+{-1;0;1},1,3)-WEEKDAY(DATE(Système!a4nee(F21)+{-1;0;1},1,3))+2))/7)+1,""),"")</f>
        <v/>
      </c>
    </row>
    <row r="22" spans="1:7">
      <c r="A22" s="72" t="str">
        <f t="shared" ca="1" si="0"/>
        <v>DIM</v>
      </c>
      <c r="B22" s="54">
        <f t="shared" ca="1" si="1"/>
        <v>45249</v>
      </c>
      <c r="C22" s="73" t="str">
        <f ca="1">IFERROR(IF(WEEKDAY(B22,2)=1,INT((B22-LOOKUP(B22,DATE(Système!a4nee(B22)+{-1;0;1},1,3)-WEEKDAY(DATE(Système!a4nee(B22)+{-1;0;1},1,3))+2))/7)+1,""),"")</f>
        <v/>
      </c>
      <c r="D22" s="74"/>
      <c r="E22" s="72" t="e">
        <f t="shared" si="2"/>
        <v>#VALUE!</v>
      </c>
      <c r="F22" s="54" t="e">
        <f t="shared" si="3"/>
        <v>#VALUE!</v>
      </c>
      <c r="G22" s="75" t="str">
        <f>IFERROR(IF(WEEKDAY(F22,2)=1,INT((F22-LOOKUP(F22,DATE(Système!a4nee(F22)+{-1;0;1},1,3)-WEEKDAY(DATE(Système!a4nee(F22)+{-1;0;1},1,3))+2))/7)+1,""),"")</f>
        <v/>
      </c>
    </row>
    <row r="23" spans="1:7">
      <c r="A23" s="72" t="str">
        <f t="shared" ca="1" si="0"/>
        <v>LUN</v>
      </c>
      <c r="B23" s="54">
        <f t="shared" ca="1" si="1"/>
        <v>45250</v>
      </c>
      <c r="C23" s="73" t="str">
        <f ca="1">IFERROR(IF(WEEKDAY(B23,2)=1,INT((B23-LOOKUP(B23,DATE(Système!a4nee(B23)+{-1;0;1},1,3)-WEEKDAY(DATE(Système!a4nee(B23)+{-1;0;1},1,3))+2))/7)+1,""),"")</f>
        <v/>
      </c>
      <c r="D23" s="74"/>
      <c r="E23" s="72" t="e">
        <f t="shared" si="2"/>
        <v>#VALUE!</v>
      </c>
      <c r="F23" s="54" t="e">
        <f t="shared" si="3"/>
        <v>#VALUE!</v>
      </c>
      <c r="G23" s="75" t="str">
        <f>IFERROR(IF(WEEKDAY(F23,2)=1,INT((F23-LOOKUP(F23,DATE(Système!a4nee(F23)+{-1;0;1},1,3)-WEEKDAY(DATE(Système!a4nee(F23)+{-1;0;1},1,3))+2))/7)+1,""),"")</f>
        <v/>
      </c>
    </row>
    <row r="24" spans="1:7">
      <c r="A24" s="72" t="str">
        <f t="shared" ca="1" si="0"/>
        <v>MAR</v>
      </c>
      <c r="B24" s="54">
        <f t="shared" ca="1" si="1"/>
        <v>45251</v>
      </c>
      <c r="C24" s="73" t="str">
        <f ca="1">IFERROR(IF(WEEKDAY(B24,2)=1,INT((B24-LOOKUP(B24,DATE(Système!a4nee(B24)+{-1;0;1},1,3)-WEEKDAY(DATE(Système!a4nee(B24)+{-1;0;1},1,3))+2))/7)+1,""),"")</f>
        <v/>
      </c>
      <c r="D24" s="74"/>
      <c r="E24" s="72" t="e">
        <f t="shared" si="2"/>
        <v>#VALUE!</v>
      </c>
      <c r="F24" s="54" t="e">
        <f t="shared" si="3"/>
        <v>#VALUE!</v>
      </c>
      <c r="G24" s="75" t="str">
        <f>IFERROR(IF(WEEKDAY(F24,2)=1,INT((F24-LOOKUP(F24,DATE(Système!a4nee(F24)+{-1;0;1},1,3)-WEEKDAY(DATE(Système!a4nee(F24)+{-1;0;1},1,3))+2))/7)+1,""),"")</f>
        <v/>
      </c>
    </row>
    <row r="25" spans="1:7">
      <c r="A25" s="72" t="str">
        <f t="shared" ca="1" si="0"/>
        <v>MER</v>
      </c>
      <c r="B25" s="54">
        <f t="shared" ca="1" si="1"/>
        <v>45252</v>
      </c>
      <c r="C25" s="73" t="str">
        <f ca="1">IFERROR(IF(WEEKDAY(B25,2)=1,INT((B25-LOOKUP(B25,DATE(Système!a4nee(B25)+{-1;0;1},1,3)-WEEKDAY(DATE(Système!a4nee(B25)+{-1;0;1},1,3))+2))/7)+1,""),"")</f>
        <v/>
      </c>
      <c r="D25" s="74"/>
      <c r="E25" s="72" t="e">
        <f t="shared" si="2"/>
        <v>#VALUE!</v>
      </c>
      <c r="F25" s="54" t="e">
        <f t="shared" si="3"/>
        <v>#VALUE!</v>
      </c>
      <c r="G25" s="75" t="str">
        <f>IFERROR(IF(WEEKDAY(F25,2)=1,INT((F25-LOOKUP(F25,DATE(Système!a4nee(F25)+{-1;0;1},1,3)-WEEKDAY(DATE(Système!a4nee(F25)+{-1;0;1},1,3))+2))/7)+1,""),"")</f>
        <v/>
      </c>
    </row>
    <row r="26" spans="1:7">
      <c r="A26" s="72" t="str">
        <f t="shared" ca="1" si="0"/>
        <v>JEU</v>
      </c>
      <c r="B26" s="54">
        <f t="shared" ca="1" si="1"/>
        <v>45253</v>
      </c>
      <c r="C26" s="73" t="str">
        <f ca="1">IFERROR(IF(WEEKDAY(B26,2)=1,INT((B26-LOOKUP(B26,DATE(Système!a4nee(B26)+{-1;0;1},1,3)-WEEKDAY(DATE(Système!a4nee(B26)+{-1;0;1},1,3))+2))/7)+1,""),"")</f>
        <v/>
      </c>
      <c r="D26" s="74"/>
      <c r="E26" s="72" t="e">
        <f t="shared" si="2"/>
        <v>#VALUE!</v>
      </c>
      <c r="F26" s="54" t="e">
        <f t="shared" si="3"/>
        <v>#VALUE!</v>
      </c>
      <c r="G26" s="75" t="str">
        <f>IFERROR(IF(WEEKDAY(F26,2)=1,INT((F26-LOOKUP(F26,DATE(Système!a4nee(F26)+{-1;0;1},1,3)-WEEKDAY(DATE(Système!a4nee(F26)+{-1;0;1},1,3))+2))/7)+1,""),"")</f>
        <v/>
      </c>
    </row>
    <row r="27" spans="1:7">
      <c r="A27" s="72" t="str">
        <f t="shared" ca="1" si="0"/>
        <v>VEN</v>
      </c>
      <c r="B27" s="54">
        <f t="shared" ca="1" si="1"/>
        <v>45254</v>
      </c>
      <c r="C27" s="73" t="str">
        <f ca="1">IFERROR(IF(WEEKDAY(B27,2)=1,INT((B27-LOOKUP(B27,DATE(Système!a4nee(B27)+{-1;0;1},1,3)-WEEKDAY(DATE(Système!a4nee(B27)+{-1;0;1},1,3))+2))/7)+1,""),"")</f>
        <v/>
      </c>
      <c r="D27" s="74"/>
      <c r="E27" s="72" t="e">
        <f t="shared" si="2"/>
        <v>#VALUE!</v>
      </c>
      <c r="F27" s="54" t="e">
        <f t="shared" si="3"/>
        <v>#VALUE!</v>
      </c>
      <c r="G27" s="75" t="str">
        <f>IFERROR(IF(WEEKDAY(F27,2)=1,INT((F27-LOOKUP(F27,DATE(Système!a4nee(F27)+{-1;0;1},1,3)-WEEKDAY(DATE(Système!a4nee(F27)+{-1;0;1},1,3))+2))/7)+1,""),"")</f>
        <v/>
      </c>
    </row>
    <row r="28" spans="1:7">
      <c r="A28" s="72" t="str">
        <f t="shared" ca="1" si="0"/>
        <v>SAM</v>
      </c>
      <c r="B28" s="54">
        <f t="shared" ca="1" si="1"/>
        <v>45255</v>
      </c>
      <c r="C28" s="73" t="str">
        <f ca="1">IFERROR(IF(WEEKDAY(B28,2)=1,INT((B28-LOOKUP(B28,DATE(Système!a4nee(B28)+{-1;0;1},1,3)-WEEKDAY(DATE(Système!a4nee(B28)+{-1;0;1},1,3))+2))/7)+1,""),"")</f>
        <v/>
      </c>
      <c r="D28" s="74"/>
      <c r="E28" s="72" t="e">
        <f t="shared" si="2"/>
        <v>#VALUE!</v>
      </c>
      <c r="F28" s="54" t="e">
        <f t="shared" si="3"/>
        <v>#VALUE!</v>
      </c>
      <c r="G28" s="75" t="str">
        <f>IFERROR(IF(WEEKDAY(F28,2)=1,INT((F28-LOOKUP(F28,DATE(Système!a4nee(F28)+{-1;0;1},1,3)-WEEKDAY(DATE(Système!a4nee(F28)+{-1;0;1},1,3))+2))/7)+1,""),"")</f>
        <v/>
      </c>
    </row>
    <row r="29" spans="1:7">
      <c r="A29" s="72" t="str">
        <f t="shared" ca="1" si="0"/>
        <v>DIM</v>
      </c>
      <c r="B29" s="54">
        <f t="shared" ca="1" si="1"/>
        <v>45256</v>
      </c>
      <c r="C29" s="73" t="str">
        <f ca="1">IFERROR(IF(WEEKDAY(B29,2)=1,INT((B29-LOOKUP(B29,DATE(Système!a4nee(B29)+{-1;0;1},1,3)-WEEKDAY(DATE(Système!a4nee(B29)+{-1;0;1},1,3))+2))/7)+1,""),"")</f>
        <v/>
      </c>
      <c r="D29" s="74"/>
      <c r="E29" s="72" t="e">
        <f t="shared" si="2"/>
        <v>#VALUE!</v>
      </c>
      <c r="F29" s="54" t="e">
        <f t="shared" si="3"/>
        <v>#VALUE!</v>
      </c>
      <c r="G29" s="75" t="str">
        <f>IFERROR(IF(WEEKDAY(F29,2)=1,INT((F29-LOOKUP(F29,DATE(Système!a4nee(F29)+{-1;0;1},1,3)-WEEKDAY(DATE(Système!a4nee(F29)+{-1;0;1},1,3))+2))/7)+1,""),"")</f>
        <v/>
      </c>
    </row>
    <row r="30" spans="1:7">
      <c r="A30" s="72" t="str">
        <f t="shared" ca="1" si="0"/>
        <v>LUN</v>
      </c>
      <c r="B30" s="54">
        <f t="shared" ca="1" si="1"/>
        <v>45257</v>
      </c>
      <c r="C30" s="73" t="str">
        <f ca="1">IFERROR(IF(WEEKDAY(B30,2)=1,INT((B30-LOOKUP(B30,DATE(Système!a4nee(B30)+{-1;0;1},1,3)-WEEKDAY(DATE(Système!a4nee(B30)+{-1;0;1},1,3))+2))/7)+1,""),"")</f>
        <v/>
      </c>
      <c r="D30" s="74"/>
      <c r="E30" s="72" t="e">
        <f t="shared" si="2"/>
        <v>#VALUE!</v>
      </c>
      <c r="F30" s="54" t="e">
        <f t="shared" si="3"/>
        <v>#VALUE!</v>
      </c>
      <c r="G30" s="75" t="str">
        <f>IFERROR(IF(WEEKDAY(F30,2)=1,INT((F30-LOOKUP(F30,DATE(Système!a4nee(F30)+{-1;0;1},1,3)-WEEKDAY(DATE(Système!a4nee(F30)+{-1;0;1},1,3))+2))/7)+1,""),"")</f>
        <v/>
      </c>
    </row>
    <row r="31" spans="1:7">
      <c r="A31" s="72" t="str">
        <f t="shared" ca="1" si="0"/>
        <v>MAR</v>
      </c>
      <c r="B31" s="54">
        <f t="shared" ca="1" si="1"/>
        <v>45258</v>
      </c>
      <c r="C31" s="73" t="str">
        <f ca="1">IFERROR(IF(WEEKDAY(B31,2)=1,INT((B31-LOOKUP(B31,DATE(Système!a4nee(B31)+{-1;0;1},1,3)-WEEKDAY(DATE(Système!a4nee(B31)+{-1;0;1},1,3))+2))/7)+1,""),"")</f>
        <v/>
      </c>
      <c r="D31" s="74"/>
      <c r="E31" s="72" t="e">
        <f t="shared" si="2"/>
        <v>#VALUE!</v>
      </c>
      <c r="F31" s="54" t="e">
        <f t="shared" si="3"/>
        <v>#VALUE!</v>
      </c>
      <c r="G31" s="75" t="str">
        <f>IFERROR(IF(WEEKDAY(F31,2)=1,INT((F31-LOOKUP(F31,DATE(Système!a4nee(F31)+{-1;0;1},1,3)-WEEKDAY(DATE(Système!a4nee(F31)+{-1;0;1},1,3))+2))/7)+1,""),"")</f>
        <v/>
      </c>
    </row>
    <row r="32" spans="1:7">
      <c r="A32" s="72" t="str">
        <f t="shared" ca="1" si="0"/>
        <v>MER</v>
      </c>
      <c r="B32" s="54">
        <f ca="1">IF(B31=EOMONTH(B$3,0),"",B31+1)</f>
        <v>45259</v>
      </c>
      <c r="C32" s="73" t="str">
        <f ca="1">IFERROR(IF(WEEKDAY(B32,2)=1,INT((B32-LOOKUP(B32,DATE(Système!a4nee(B32)+{-1;0;1},1,3)-WEEKDAY(DATE(Système!a4nee(B32)+{-1;0;1},1,3))+2))/7)+1,""),"")</f>
        <v/>
      </c>
      <c r="D32" s="74"/>
      <c r="E32" s="72" t="e">
        <f t="shared" si="2"/>
        <v>#VALUE!</v>
      </c>
      <c r="F32" s="54" t="e">
        <f>IF(F31=EOMONTH(F$3,0),"",F31+1)</f>
        <v>#VALUE!</v>
      </c>
      <c r="G32" s="75" t="str">
        <f>IFERROR(IF(WEEKDAY(F32,2)=1,INT((F32-LOOKUP(F32,DATE(Système!a4nee(F32)+{-1;0;1},1,3)-WEEKDAY(DATE(Système!a4nee(F32)+{-1;0;1},1,3))+2))/7)+1,""),"")</f>
        <v/>
      </c>
    </row>
    <row r="33" spans="1:7">
      <c r="A33" s="72" t="str">
        <f t="shared" ca="1" si="0"/>
        <v>JEU</v>
      </c>
      <c r="B33" s="54">
        <f ca="1">IFERROR(IF(B32=EOMONTH(B$3,0),"",B32+1),"")</f>
        <v>45260</v>
      </c>
      <c r="C33" s="73" t="str">
        <f ca="1">IFERROR(IF(WEEKDAY(B33,2)=1,INT((B33-LOOKUP(B33,DATE(Système!a4nee(B33)+{-1;0;1},1,3)-WEEKDAY(DATE(Système!a4nee(B33)+{-1;0;1},1,3))+2))/7)+1,""),"")</f>
        <v/>
      </c>
      <c r="D33" s="74"/>
      <c r="E33" s="72" t="str">
        <f t="shared" si="2"/>
        <v/>
      </c>
      <c r="F33" s="54" t="str">
        <f>IFERROR(IF(F32=EOMONTH(F$3,0),"",F32+1),"")</f>
        <v/>
      </c>
      <c r="G33" s="75" t="str">
        <f>IFERROR(IF(WEEKDAY(F33,2)=1,INT((F33-LOOKUP(F33,DATE(Système!a4nee(F33)+{-1;0;1},1,3)-WEEKDAY(DATE(Système!a4nee(F33)+{-1;0;1},1,3))+2))/7)+1,""),"")</f>
        <v/>
      </c>
    </row>
    <row r="34" spans="1:7" ht="15" thickBot="1">
      <c r="A34" s="76" t="str">
        <f t="shared" ca="1" si="0"/>
        <v>VEN</v>
      </c>
      <c r="B34" s="59">
        <f ca="1">IFERROR(IF(B33=EOMONTH(B$3,0),"",B33+1),"")</f>
        <v>45261</v>
      </c>
      <c r="C34" s="77" t="str">
        <f ca="1">IFERROR(IF(WEEKDAY(B34,2)=1,INT((B34-LOOKUP(B34,DATE(Système!a4nee(B34)+{-1;0;1},1,3)-WEEKDAY(DATE(Système!a4nee(B34)+{-1;0;1},1,3))+2))/7)+1,""),"")</f>
        <v/>
      </c>
      <c r="D34" s="78"/>
      <c r="E34" s="76" t="str">
        <f t="shared" si="2"/>
        <v/>
      </c>
      <c r="F34" s="59" t="str">
        <f>IFERROR(IF(F33=EOMONTH(F$3,0),"",F33+1),"")</f>
        <v/>
      </c>
      <c r="G34" s="79" t="str">
        <f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dxfId="12" priority="1">
      <formula>AND(MONTH($B$3)/2&lt;&gt;INT(MONTH($B$3)/2))</formula>
    </cfRule>
    <cfRule type="expression" dxfId="11" priority="2">
      <formula>AND(MONTH($B$3)/2=INT(MONTH($B$3)/2))</formula>
    </cfRule>
  </conditionalFormatting>
  <conditionalFormatting sqref="B4:B34 F4:F34">
    <cfRule type="expression" dxfId="10" priority="3">
      <formula>AND(B4=TODAY())</formula>
    </cfRule>
  </conditionalFormatting>
  <conditionalFormatting sqref="C32:C34 G32:G34">
    <cfRule type="expression" dxfId="9" priority="4">
      <formula>AND(A32="")</formula>
    </cfRule>
  </conditionalFormatting>
  <conditionalFormatting sqref="B32:B34 F32:F34">
    <cfRule type="expression" dxfId="8" priority="5">
      <formula>AND(A32="")</formula>
    </cfRule>
  </conditionalFormatting>
  <conditionalFormatting sqref="E32:E34 A32:A34">
    <cfRule type="expression" dxfId="7" priority="6">
      <formula>AND(A32="")</formula>
    </cfRule>
  </conditionalFormatting>
  <conditionalFormatting sqref="C4:C34 G4:G34">
    <cfRule type="expression" dxfId="6" priority="7">
      <formula>OR(TEXT(WEEKDAY(B4),"JJJJ")=Jours_chômés)</formula>
    </cfRule>
    <cfRule type="expression" dxfId="5" priority="8">
      <formula>OR(B4=Fériés)</formula>
    </cfRule>
  </conditionalFormatting>
  <conditionalFormatting sqref="E4:F34">
    <cfRule type="expression" dxfId="4" priority="9">
      <formula>AND(MONTH($F$3)/2=INT(MONTH($F$3)/2))</formula>
    </cfRule>
    <cfRule type="expression" dxfId="3" priority="10">
      <formula>AND(MONTH($F$3)/2&lt;&gt;INT(MONTH($F$3)/2))</formula>
    </cfRule>
  </conditionalFormatting>
  <conditionalFormatting sqref="A3 E3">
    <cfRule type="expression" dxfId="2" priority="11">
      <formula>AND(MONTH($B$3)/2&lt;&gt;INT(MONTH($B$3)/2))</formula>
    </cfRule>
    <cfRule type="expression" dxfId="1" priority="12">
      <formula>AND(MONTH($B$3)/2=INT(MONTH($B$3)/2))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BA3C-6B1B-4970-9049-CCAAC0835278}">
  <sheetPr codeName="Feuil14"/>
  <dimension ref="A1:E401"/>
  <sheetViews>
    <sheetView zoomScaleNormal="100" workbookViewId="0">
      <selection activeCell="B4" sqref="B4"/>
    </sheetView>
  </sheetViews>
  <sheetFormatPr baseColWidth="10" defaultColWidth="10.5546875" defaultRowHeight="13.2"/>
  <cols>
    <col min="1" max="1" width="34.33203125" style="88" customWidth="1"/>
    <col min="2" max="2" width="14.109375" style="3" customWidth="1"/>
    <col min="3" max="3" width="10.5546875" style="3"/>
    <col min="4" max="4" width="43.44140625" style="3" customWidth="1"/>
    <col min="5" max="5" width="16.44140625" style="3" customWidth="1"/>
    <col min="6" max="16384" width="10.5546875" style="3"/>
  </cols>
  <sheetData>
    <row r="1" spans="1:5" ht="35.4" thickBot="1">
      <c r="A1" s="89" t="s">
        <v>1</v>
      </c>
      <c r="D1" s="80" t="s">
        <v>2989</v>
      </c>
      <c r="E1" s="81" t="s">
        <v>2990</v>
      </c>
    </row>
    <row r="2" spans="1:5" ht="18" thickBot="1">
      <c r="A2" s="85" t="s">
        <v>2991</v>
      </c>
      <c r="C2" s="82"/>
      <c r="D2" s="83" t="s">
        <v>2992</v>
      </c>
      <c r="E2" s="84" t="str">
        <f>IF(ISERROR(VLOOKUP(D2,Tableau4[Ingrédients],1,FALSE())), "Non trouvé", "Présent")</f>
        <v>Non trouvé</v>
      </c>
    </row>
    <row r="3" spans="1:5">
      <c r="A3" s="86" t="s">
        <v>2993</v>
      </c>
    </row>
    <row r="4" spans="1:5">
      <c r="A4" s="86" t="s">
        <v>2994</v>
      </c>
    </row>
    <row r="5" spans="1:5">
      <c r="A5" s="86" t="s">
        <v>2995</v>
      </c>
    </row>
    <row r="6" spans="1:5">
      <c r="A6" s="86" t="s">
        <v>2996</v>
      </c>
    </row>
    <row r="7" spans="1:5">
      <c r="A7" s="86" t="s">
        <v>2997</v>
      </c>
    </row>
    <row r="8" spans="1:5">
      <c r="A8" s="86" t="s">
        <v>2998</v>
      </c>
    </row>
    <row r="9" spans="1:5">
      <c r="A9" s="86" t="s">
        <v>2999</v>
      </c>
    </row>
    <row r="10" spans="1:5">
      <c r="A10" s="86" t="s">
        <v>3000</v>
      </c>
    </row>
    <row r="11" spans="1:5">
      <c r="A11" s="86" t="s">
        <v>3001</v>
      </c>
    </row>
    <row r="12" spans="1:5">
      <c r="A12" s="86" t="s">
        <v>3002</v>
      </c>
    </row>
    <row r="13" spans="1:5">
      <c r="A13" s="86" t="s">
        <v>3003</v>
      </c>
    </row>
    <row r="14" spans="1:5">
      <c r="A14" s="86" t="s">
        <v>3004</v>
      </c>
    </row>
    <row r="15" spans="1:5">
      <c r="A15" s="86" t="s">
        <v>3005</v>
      </c>
    </row>
    <row r="16" spans="1:5">
      <c r="A16" s="86" t="s">
        <v>3006</v>
      </c>
    </row>
    <row r="17" spans="1:1">
      <c r="A17" s="86" t="s">
        <v>3007</v>
      </c>
    </row>
    <row r="18" spans="1:1">
      <c r="A18" s="86" t="s">
        <v>3008</v>
      </c>
    </row>
    <row r="19" spans="1:1">
      <c r="A19" s="86" t="s">
        <v>3009</v>
      </c>
    </row>
    <row r="20" spans="1:1">
      <c r="A20" s="86" t="s">
        <v>3010</v>
      </c>
    </row>
    <row r="21" spans="1:1">
      <c r="A21" s="86" t="s">
        <v>3011</v>
      </c>
    </row>
    <row r="22" spans="1:1">
      <c r="A22" s="86" t="s">
        <v>3012</v>
      </c>
    </row>
    <row r="23" spans="1:1">
      <c r="A23" s="86" t="s">
        <v>3013</v>
      </c>
    </row>
    <row r="24" spans="1:1">
      <c r="A24" s="86" t="s">
        <v>3014</v>
      </c>
    </row>
    <row r="25" spans="1:1">
      <c r="A25" s="86" t="s">
        <v>3015</v>
      </c>
    </row>
    <row r="26" spans="1:1">
      <c r="A26" s="86" t="s">
        <v>3016</v>
      </c>
    </row>
    <row r="27" spans="1:1">
      <c r="A27" s="86" t="s">
        <v>3017</v>
      </c>
    </row>
    <row r="28" spans="1:1">
      <c r="A28" s="86" t="s">
        <v>3018</v>
      </c>
    </row>
    <row r="29" spans="1:1">
      <c r="A29" s="86" t="s">
        <v>3019</v>
      </c>
    </row>
    <row r="30" spans="1:1">
      <c r="A30" s="86" t="s">
        <v>3019</v>
      </c>
    </row>
    <row r="31" spans="1:1">
      <c r="A31" s="86" t="s">
        <v>3020</v>
      </c>
    </row>
    <row r="32" spans="1:1">
      <c r="A32" s="86" t="s">
        <v>3021</v>
      </c>
    </row>
    <row r="33" spans="1:1">
      <c r="A33" s="86" t="s">
        <v>3022</v>
      </c>
    </row>
    <row r="34" spans="1:1">
      <c r="A34" s="86" t="s">
        <v>3023</v>
      </c>
    </row>
    <row r="35" spans="1:1">
      <c r="A35" s="86" t="s">
        <v>3024</v>
      </c>
    </row>
    <row r="36" spans="1:1">
      <c r="A36" s="86" t="s">
        <v>3025</v>
      </c>
    </row>
    <row r="37" spans="1:1">
      <c r="A37" s="86" t="s">
        <v>3026</v>
      </c>
    </row>
    <row r="38" spans="1:1">
      <c r="A38" s="86" t="s">
        <v>3027</v>
      </c>
    </row>
    <row r="39" spans="1:1">
      <c r="A39" s="87" t="s">
        <v>3028</v>
      </c>
    </row>
    <row r="40" spans="1:1">
      <c r="A40" s="86" t="s">
        <v>3029</v>
      </c>
    </row>
    <row r="41" spans="1:1">
      <c r="A41" s="86" t="s">
        <v>3030</v>
      </c>
    </row>
    <row r="42" spans="1:1">
      <c r="A42" s="86" t="s">
        <v>3031</v>
      </c>
    </row>
    <row r="43" spans="1:1">
      <c r="A43" s="86" t="s">
        <v>3032</v>
      </c>
    </row>
    <row r="44" spans="1:1">
      <c r="A44" s="86" t="s">
        <v>3033</v>
      </c>
    </row>
    <row r="45" spans="1:1">
      <c r="A45" s="86" t="s">
        <v>3034</v>
      </c>
    </row>
    <row r="46" spans="1:1">
      <c r="A46" s="86" t="s">
        <v>3035</v>
      </c>
    </row>
    <row r="47" spans="1:1">
      <c r="A47" s="86" t="s">
        <v>3036</v>
      </c>
    </row>
    <row r="48" spans="1:1">
      <c r="A48" s="86" t="s">
        <v>3037</v>
      </c>
    </row>
    <row r="49" spans="1:1">
      <c r="A49" s="86" t="s">
        <v>3038</v>
      </c>
    </row>
    <row r="50" spans="1:1">
      <c r="A50" s="86" t="s">
        <v>3039</v>
      </c>
    </row>
    <row r="51" spans="1:1">
      <c r="A51" s="86" t="s">
        <v>3040</v>
      </c>
    </row>
    <row r="52" spans="1:1">
      <c r="A52" s="86" t="s">
        <v>3041</v>
      </c>
    </row>
    <row r="53" spans="1:1">
      <c r="A53" s="86" t="s">
        <v>3042</v>
      </c>
    </row>
    <row r="54" spans="1:1">
      <c r="A54" s="86" t="s">
        <v>3043</v>
      </c>
    </row>
    <row r="55" spans="1:1">
      <c r="A55" s="86" t="s">
        <v>3044</v>
      </c>
    </row>
    <row r="56" spans="1:1">
      <c r="A56" s="86" t="s">
        <v>3045</v>
      </c>
    </row>
    <row r="57" spans="1:1">
      <c r="A57" s="86" t="s">
        <v>3046</v>
      </c>
    </row>
    <row r="58" spans="1:1">
      <c r="A58" s="86" t="s">
        <v>3047</v>
      </c>
    </row>
    <row r="59" spans="1:1">
      <c r="A59" s="86" t="s">
        <v>3048</v>
      </c>
    </row>
    <row r="60" spans="1:1">
      <c r="A60" s="86" t="s">
        <v>3049</v>
      </c>
    </row>
    <row r="61" spans="1:1">
      <c r="A61" s="86" t="s">
        <v>3050</v>
      </c>
    </row>
    <row r="62" spans="1:1">
      <c r="A62" s="86" t="s">
        <v>3051</v>
      </c>
    </row>
    <row r="63" spans="1:1">
      <c r="A63" s="86" t="s">
        <v>3052</v>
      </c>
    </row>
    <row r="64" spans="1:1">
      <c r="A64" s="86" t="s">
        <v>3053</v>
      </c>
    </row>
    <row r="65" spans="1:1">
      <c r="A65" s="86" t="s">
        <v>3054</v>
      </c>
    </row>
    <row r="66" spans="1:1">
      <c r="A66" s="86" t="s">
        <v>3055</v>
      </c>
    </row>
    <row r="67" spans="1:1">
      <c r="A67" s="86" t="s">
        <v>3056</v>
      </c>
    </row>
    <row r="68" spans="1:1">
      <c r="A68" s="86" t="s">
        <v>3057</v>
      </c>
    </row>
    <row r="69" spans="1:1">
      <c r="A69" s="86" t="s">
        <v>3058</v>
      </c>
    </row>
    <row r="70" spans="1:1">
      <c r="A70" s="86" t="s">
        <v>3059</v>
      </c>
    </row>
    <row r="71" spans="1:1">
      <c r="A71" s="86" t="s">
        <v>3060</v>
      </c>
    </row>
    <row r="72" spans="1:1">
      <c r="A72" s="86" t="s">
        <v>3061</v>
      </c>
    </row>
    <row r="73" spans="1:1">
      <c r="A73" s="86" t="s">
        <v>3062</v>
      </c>
    </row>
    <row r="74" spans="1:1">
      <c r="A74" s="86" t="s">
        <v>3063</v>
      </c>
    </row>
    <row r="75" spans="1:1">
      <c r="A75" s="86" t="s">
        <v>3064</v>
      </c>
    </row>
    <row r="76" spans="1:1">
      <c r="A76" s="86" t="s">
        <v>3065</v>
      </c>
    </row>
    <row r="77" spans="1:1">
      <c r="A77" s="86" t="s">
        <v>3066</v>
      </c>
    </row>
    <row r="78" spans="1:1">
      <c r="A78" s="86" t="s">
        <v>3067</v>
      </c>
    </row>
    <row r="79" spans="1:1">
      <c r="A79" s="86" t="s">
        <v>3068</v>
      </c>
    </row>
    <row r="80" spans="1:1">
      <c r="A80" s="86" t="s">
        <v>3069</v>
      </c>
    </row>
    <row r="81" spans="1:1">
      <c r="A81" s="86" t="s">
        <v>3070</v>
      </c>
    </row>
    <row r="82" spans="1:1">
      <c r="A82" s="86" t="s">
        <v>3071</v>
      </c>
    </row>
    <row r="83" spans="1:1">
      <c r="A83" s="86" t="s">
        <v>3072</v>
      </c>
    </row>
    <row r="84" spans="1:1">
      <c r="A84" s="86" t="s">
        <v>3073</v>
      </c>
    </row>
    <row r="85" spans="1:1">
      <c r="A85" s="86" t="s">
        <v>3074</v>
      </c>
    </row>
    <row r="86" spans="1:1">
      <c r="A86" s="86" t="s">
        <v>3075</v>
      </c>
    </row>
    <row r="87" spans="1:1">
      <c r="A87" s="86" t="s">
        <v>3076</v>
      </c>
    </row>
    <row r="88" spans="1:1">
      <c r="A88" s="86" t="s">
        <v>3077</v>
      </c>
    </row>
    <row r="89" spans="1:1">
      <c r="A89" s="86" t="s">
        <v>3078</v>
      </c>
    </row>
    <row r="90" spans="1:1">
      <c r="A90" s="86" t="s">
        <v>3079</v>
      </c>
    </row>
    <row r="91" spans="1:1">
      <c r="A91" s="86" t="s">
        <v>3080</v>
      </c>
    </row>
    <row r="92" spans="1:1">
      <c r="A92" s="86" t="s">
        <v>3081</v>
      </c>
    </row>
    <row r="93" spans="1:1">
      <c r="A93" s="86" t="s">
        <v>3082</v>
      </c>
    </row>
    <row r="94" spans="1:1">
      <c r="A94" s="86" t="s">
        <v>3083</v>
      </c>
    </row>
    <row r="95" spans="1:1">
      <c r="A95" s="86" t="s">
        <v>3084</v>
      </c>
    </row>
    <row r="96" spans="1:1">
      <c r="A96" s="86" t="s">
        <v>3085</v>
      </c>
    </row>
    <row r="97" spans="1:1">
      <c r="A97" s="86" t="s">
        <v>3086</v>
      </c>
    </row>
    <row r="98" spans="1:1">
      <c r="A98" s="86" t="s">
        <v>3087</v>
      </c>
    </row>
    <row r="99" spans="1:1">
      <c r="A99" s="86" t="s">
        <v>3088</v>
      </c>
    </row>
    <row r="100" spans="1:1">
      <c r="A100" s="86" t="s">
        <v>3089</v>
      </c>
    </row>
    <row r="101" spans="1:1">
      <c r="A101" s="86" t="s">
        <v>3090</v>
      </c>
    </row>
    <row r="102" spans="1:1">
      <c r="A102" s="86" t="s">
        <v>3091</v>
      </c>
    </row>
    <row r="103" spans="1:1">
      <c r="A103" s="86" t="s">
        <v>3092</v>
      </c>
    </row>
    <row r="104" spans="1:1">
      <c r="A104" s="86" t="s">
        <v>3093</v>
      </c>
    </row>
    <row r="105" spans="1:1">
      <c r="A105" s="86" t="s">
        <v>3094</v>
      </c>
    </row>
    <row r="106" spans="1:1">
      <c r="A106" s="86" t="s">
        <v>3095</v>
      </c>
    </row>
    <row r="107" spans="1:1">
      <c r="A107" s="86" t="s">
        <v>3096</v>
      </c>
    </row>
    <row r="108" spans="1:1">
      <c r="A108" s="86" t="s">
        <v>3097</v>
      </c>
    </row>
    <row r="109" spans="1:1">
      <c r="A109" s="86" t="s">
        <v>3098</v>
      </c>
    </row>
    <row r="110" spans="1:1">
      <c r="A110" s="86" t="s">
        <v>3099</v>
      </c>
    </row>
    <row r="111" spans="1:1">
      <c r="A111" s="86" t="s">
        <v>3100</v>
      </c>
    </row>
    <row r="112" spans="1:1">
      <c r="A112" s="86" t="s">
        <v>3101</v>
      </c>
    </row>
    <row r="113" spans="1:1">
      <c r="A113" s="86" t="s">
        <v>3102</v>
      </c>
    </row>
    <row r="114" spans="1:1">
      <c r="A114" s="86" t="s">
        <v>3103</v>
      </c>
    </row>
    <row r="115" spans="1:1">
      <c r="A115" s="86" t="s">
        <v>3104</v>
      </c>
    </row>
    <row r="116" spans="1:1">
      <c r="A116" s="86" t="s">
        <v>3105</v>
      </c>
    </row>
    <row r="117" spans="1:1">
      <c r="A117" s="86" t="s">
        <v>3106</v>
      </c>
    </row>
    <row r="118" spans="1:1">
      <c r="A118" s="86" t="s">
        <v>3107</v>
      </c>
    </row>
    <row r="119" spans="1:1">
      <c r="A119" s="86" t="s">
        <v>3108</v>
      </c>
    </row>
    <row r="120" spans="1:1">
      <c r="A120" s="86" t="s">
        <v>3109</v>
      </c>
    </row>
    <row r="121" spans="1:1">
      <c r="A121" s="86" t="s">
        <v>3110</v>
      </c>
    </row>
    <row r="122" spans="1:1">
      <c r="A122" s="86" t="s">
        <v>3111</v>
      </c>
    </row>
    <row r="123" spans="1:1">
      <c r="A123" s="86" t="s">
        <v>3112</v>
      </c>
    </row>
    <row r="124" spans="1:1">
      <c r="A124" s="86" t="s">
        <v>3113</v>
      </c>
    </row>
    <row r="125" spans="1:1">
      <c r="A125" s="86" t="s">
        <v>3114</v>
      </c>
    </row>
    <row r="126" spans="1:1">
      <c r="A126" s="86" t="s">
        <v>3115</v>
      </c>
    </row>
    <row r="127" spans="1:1">
      <c r="A127" s="86" t="s">
        <v>3116</v>
      </c>
    </row>
    <row r="128" spans="1:1">
      <c r="A128" s="86" t="s">
        <v>3117</v>
      </c>
    </row>
    <row r="129" spans="1:1">
      <c r="A129" s="86" t="s">
        <v>3118</v>
      </c>
    </row>
    <row r="130" spans="1:1">
      <c r="A130" s="86" t="s">
        <v>3119</v>
      </c>
    </row>
    <row r="131" spans="1:1">
      <c r="A131" s="86" t="s">
        <v>3120</v>
      </c>
    </row>
    <row r="132" spans="1:1">
      <c r="A132" s="86" t="s">
        <v>3121</v>
      </c>
    </row>
    <row r="133" spans="1:1">
      <c r="A133" s="86" t="s">
        <v>3122</v>
      </c>
    </row>
    <row r="134" spans="1:1">
      <c r="A134" s="86" t="s">
        <v>3123</v>
      </c>
    </row>
    <row r="135" spans="1:1">
      <c r="A135" s="86" t="s">
        <v>3124</v>
      </c>
    </row>
    <row r="136" spans="1:1">
      <c r="A136" s="86" t="s">
        <v>3125</v>
      </c>
    </row>
    <row r="137" spans="1:1">
      <c r="A137" s="86" t="s">
        <v>3126</v>
      </c>
    </row>
    <row r="138" spans="1:1">
      <c r="A138" s="86" t="s">
        <v>3127</v>
      </c>
    </row>
    <row r="139" spans="1:1">
      <c r="A139" s="86" t="s">
        <v>3128</v>
      </c>
    </row>
    <row r="140" spans="1:1">
      <c r="A140" s="86" t="s">
        <v>3129</v>
      </c>
    </row>
    <row r="141" spans="1:1">
      <c r="A141" s="86" t="s">
        <v>3130</v>
      </c>
    </row>
    <row r="142" spans="1:1">
      <c r="A142" s="86" t="s">
        <v>3131</v>
      </c>
    </row>
    <row r="143" spans="1:1">
      <c r="A143" s="86" t="s">
        <v>3132</v>
      </c>
    </row>
    <row r="144" spans="1:1">
      <c r="A144" s="86" t="s">
        <v>3133</v>
      </c>
    </row>
    <row r="145" spans="1:1">
      <c r="A145" s="86" t="s">
        <v>3134</v>
      </c>
    </row>
    <row r="146" spans="1:1">
      <c r="A146" s="86" t="s">
        <v>3135</v>
      </c>
    </row>
    <row r="147" spans="1:1">
      <c r="A147" s="86" t="s">
        <v>3136</v>
      </c>
    </row>
    <row r="148" spans="1:1">
      <c r="A148" s="86" t="s">
        <v>3137</v>
      </c>
    </row>
    <row r="149" spans="1:1">
      <c r="A149" s="86" t="s">
        <v>3138</v>
      </c>
    </row>
    <row r="150" spans="1:1">
      <c r="A150" s="86" t="s">
        <v>3139</v>
      </c>
    </row>
    <row r="151" spans="1:1">
      <c r="A151" s="86" t="s">
        <v>3140</v>
      </c>
    </row>
    <row r="152" spans="1:1">
      <c r="A152" s="86" t="s">
        <v>3141</v>
      </c>
    </row>
    <row r="153" spans="1:1">
      <c r="A153" s="86" t="s">
        <v>3142</v>
      </c>
    </row>
    <row r="154" spans="1:1">
      <c r="A154" s="86" t="s">
        <v>3143</v>
      </c>
    </row>
    <row r="155" spans="1:1">
      <c r="A155" s="86" t="s">
        <v>3144</v>
      </c>
    </row>
    <row r="156" spans="1:1">
      <c r="A156" s="86" t="s">
        <v>3145</v>
      </c>
    </row>
    <row r="157" spans="1:1">
      <c r="A157" s="86" t="s">
        <v>3146</v>
      </c>
    </row>
    <row r="158" spans="1:1">
      <c r="A158" s="86" t="s">
        <v>3147</v>
      </c>
    </row>
    <row r="159" spans="1:1">
      <c r="A159" s="86" t="s">
        <v>3148</v>
      </c>
    </row>
    <row r="160" spans="1:1">
      <c r="A160" s="86" t="s">
        <v>3149</v>
      </c>
    </row>
    <row r="161" spans="1:1">
      <c r="A161" s="86" t="s">
        <v>3150</v>
      </c>
    </row>
    <row r="162" spans="1:1">
      <c r="A162" s="86" t="s">
        <v>3151</v>
      </c>
    </row>
    <row r="163" spans="1:1">
      <c r="A163" s="86" t="s">
        <v>3152</v>
      </c>
    </row>
    <row r="164" spans="1:1">
      <c r="A164" s="86" t="s">
        <v>3153</v>
      </c>
    </row>
    <row r="165" spans="1:1">
      <c r="A165" s="86" t="s">
        <v>3154</v>
      </c>
    </row>
    <row r="166" spans="1:1">
      <c r="A166" s="86" t="s">
        <v>3155</v>
      </c>
    </row>
    <row r="167" spans="1:1">
      <c r="A167" s="86" t="s">
        <v>3156</v>
      </c>
    </row>
    <row r="168" spans="1:1">
      <c r="A168" s="86" t="s">
        <v>3157</v>
      </c>
    </row>
    <row r="169" spans="1:1">
      <c r="A169" s="86" t="s">
        <v>3158</v>
      </c>
    </row>
    <row r="170" spans="1:1">
      <c r="A170" s="86" t="s">
        <v>3159</v>
      </c>
    </row>
    <row r="171" spans="1:1">
      <c r="A171" s="86" t="s">
        <v>3160</v>
      </c>
    </row>
    <row r="172" spans="1:1">
      <c r="A172" s="86" t="s">
        <v>3161</v>
      </c>
    </row>
    <row r="173" spans="1:1">
      <c r="A173" s="86" t="s">
        <v>3162</v>
      </c>
    </row>
    <row r="174" spans="1:1">
      <c r="A174" s="86" t="s">
        <v>3163</v>
      </c>
    </row>
    <row r="175" spans="1:1">
      <c r="A175" s="86" t="s">
        <v>3164</v>
      </c>
    </row>
    <row r="176" spans="1:1">
      <c r="A176" s="86" t="s">
        <v>3165</v>
      </c>
    </row>
    <row r="177" spans="1:1">
      <c r="A177" s="86" t="s">
        <v>3166</v>
      </c>
    </row>
    <row r="178" spans="1:1">
      <c r="A178" s="86" t="s">
        <v>3167</v>
      </c>
    </row>
    <row r="179" spans="1:1">
      <c r="A179" s="86" t="s">
        <v>3168</v>
      </c>
    </row>
    <row r="180" spans="1:1">
      <c r="A180" s="86" t="s">
        <v>3169</v>
      </c>
    </row>
    <row r="181" spans="1:1">
      <c r="A181" s="86" t="s">
        <v>3170</v>
      </c>
    </row>
    <row r="182" spans="1:1">
      <c r="A182" s="86" t="s">
        <v>3171</v>
      </c>
    </row>
    <row r="183" spans="1:1">
      <c r="A183" s="86" t="s">
        <v>3172</v>
      </c>
    </row>
    <row r="184" spans="1:1">
      <c r="A184" s="86" t="s">
        <v>3173</v>
      </c>
    </row>
    <row r="185" spans="1:1">
      <c r="A185" s="86" t="s">
        <v>3174</v>
      </c>
    </row>
    <row r="186" spans="1:1">
      <c r="A186" s="86" t="s">
        <v>3175</v>
      </c>
    </row>
    <row r="187" spans="1:1">
      <c r="A187" s="86" t="s">
        <v>3176</v>
      </c>
    </row>
    <row r="188" spans="1:1">
      <c r="A188" s="86" t="s">
        <v>3177</v>
      </c>
    </row>
    <row r="189" spans="1:1">
      <c r="A189" s="86" t="s">
        <v>3178</v>
      </c>
    </row>
    <row r="190" spans="1:1">
      <c r="A190" s="86" t="s">
        <v>3179</v>
      </c>
    </row>
    <row r="191" spans="1:1">
      <c r="A191" s="86" t="s">
        <v>3180</v>
      </c>
    </row>
    <row r="192" spans="1:1">
      <c r="A192" s="86" t="s">
        <v>3181</v>
      </c>
    </row>
    <row r="193" spans="1:1">
      <c r="A193" s="86" t="s">
        <v>3182</v>
      </c>
    </row>
    <row r="194" spans="1:1">
      <c r="A194" s="86" t="s">
        <v>3183</v>
      </c>
    </row>
    <row r="195" spans="1:1">
      <c r="A195" s="86" t="s">
        <v>3184</v>
      </c>
    </row>
    <row r="196" spans="1:1">
      <c r="A196" s="86" t="s">
        <v>3185</v>
      </c>
    </row>
    <row r="197" spans="1:1">
      <c r="A197" s="86" t="s">
        <v>3186</v>
      </c>
    </row>
    <row r="198" spans="1:1">
      <c r="A198" s="86" t="s">
        <v>3187</v>
      </c>
    </row>
    <row r="199" spans="1:1">
      <c r="A199" s="86" t="s">
        <v>3188</v>
      </c>
    </row>
    <row r="200" spans="1:1">
      <c r="A200" s="86" t="s">
        <v>3189</v>
      </c>
    </row>
    <row r="201" spans="1:1">
      <c r="A201" s="86" t="s">
        <v>3190</v>
      </c>
    </row>
    <row r="202" spans="1:1">
      <c r="A202" s="86" t="s">
        <v>3191</v>
      </c>
    </row>
    <row r="203" spans="1:1">
      <c r="A203" s="86" t="s">
        <v>3192</v>
      </c>
    </row>
    <row r="204" spans="1:1">
      <c r="A204" s="86" t="s">
        <v>3193</v>
      </c>
    </row>
    <row r="205" spans="1:1">
      <c r="A205" s="86" t="s">
        <v>3194</v>
      </c>
    </row>
    <row r="206" spans="1:1">
      <c r="A206" s="86" t="s">
        <v>3195</v>
      </c>
    </row>
    <row r="207" spans="1:1">
      <c r="A207" s="86" t="s">
        <v>3196</v>
      </c>
    </row>
    <row r="208" spans="1:1">
      <c r="A208" s="86" t="s">
        <v>3197</v>
      </c>
    </row>
    <row r="209" spans="1:1">
      <c r="A209" s="86" t="s">
        <v>3198</v>
      </c>
    </row>
    <row r="210" spans="1:1">
      <c r="A210" s="86" t="s">
        <v>3199</v>
      </c>
    </row>
    <row r="211" spans="1:1">
      <c r="A211" s="86" t="s">
        <v>3200</v>
      </c>
    </row>
    <row r="212" spans="1:1">
      <c r="A212" s="86" t="s">
        <v>3201</v>
      </c>
    </row>
    <row r="213" spans="1:1">
      <c r="A213" s="86" t="s">
        <v>3202</v>
      </c>
    </row>
    <row r="214" spans="1:1">
      <c r="A214" s="86" t="s">
        <v>3203</v>
      </c>
    </row>
    <row r="215" spans="1:1">
      <c r="A215" s="86" t="s">
        <v>3204</v>
      </c>
    </row>
    <row r="216" spans="1:1">
      <c r="A216" s="86" t="s">
        <v>3205</v>
      </c>
    </row>
    <row r="217" spans="1:1">
      <c r="A217" s="86" t="s">
        <v>3206</v>
      </c>
    </row>
    <row r="218" spans="1:1">
      <c r="A218" s="86" t="s">
        <v>3207</v>
      </c>
    </row>
    <row r="219" spans="1:1">
      <c r="A219" s="86" t="s">
        <v>3208</v>
      </c>
    </row>
    <row r="220" spans="1:1">
      <c r="A220" s="86" t="s">
        <v>3209</v>
      </c>
    </row>
    <row r="221" spans="1:1">
      <c r="A221" s="86" t="s">
        <v>3210</v>
      </c>
    </row>
    <row r="222" spans="1:1">
      <c r="A222" s="86" t="s">
        <v>3211</v>
      </c>
    </row>
    <row r="223" spans="1:1">
      <c r="A223" s="86" t="s">
        <v>3212</v>
      </c>
    </row>
    <row r="224" spans="1:1">
      <c r="A224" s="86" t="s">
        <v>3213</v>
      </c>
    </row>
    <row r="225" spans="1:1">
      <c r="A225" s="86" t="s">
        <v>3214</v>
      </c>
    </row>
    <row r="226" spans="1:1">
      <c r="A226" s="86" t="s">
        <v>3215</v>
      </c>
    </row>
    <row r="227" spans="1:1">
      <c r="A227" s="86" t="s">
        <v>3216</v>
      </c>
    </row>
    <row r="228" spans="1:1">
      <c r="A228" s="86" t="s">
        <v>3217</v>
      </c>
    </row>
    <row r="229" spans="1:1">
      <c r="A229" s="86" t="s">
        <v>3218</v>
      </c>
    </row>
    <row r="230" spans="1:1">
      <c r="A230" s="86" t="s">
        <v>3219</v>
      </c>
    </row>
    <row r="231" spans="1:1">
      <c r="A231" s="86" t="s">
        <v>3220</v>
      </c>
    </row>
    <row r="232" spans="1:1">
      <c r="A232" s="86" t="s">
        <v>3221</v>
      </c>
    </row>
    <row r="233" spans="1:1">
      <c r="A233" s="87" t="s">
        <v>3222</v>
      </c>
    </row>
    <row r="234" spans="1:1">
      <c r="A234" s="85"/>
    </row>
    <row r="235" spans="1:1">
      <c r="A235" s="86"/>
    </row>
    <row r="236" spans="1:1">
      <c r="A236" s="86"/>
    </row>
    <row r="237" spans="1:1">
      <c r="A237" s="86"/>
    </row>
    <row r="238" spans="1:1">
      <c r="A238" s="86"/>
    </row>
    <row r="239" spans="1:1">
      <c r="A239" s="86"/>
    </row>
    <row r="240" spans="1:1">
      <c r="A240" s="86"/>
    </row>
    <row r="241" spans="1:1">
      <c r="A241" s="86"/>
    </row>
    <row r="242" spans="1:1">
      <c r="A242" s="86"/>
    </row>
    <row r="243" spans="1:1">
      <c r="A243" s="86"/>
    </row>
    <row r="244" spans="1:1">
      <c r="A244" s="86"/>
    </row>
    <row r="245" spans="1:1">
      <c r="A245" s="86"/>
    </row>
    <row r="246" spans="1:1">
      <c r="A246" s="86"/>
    </row>
    <row r="247" spans="1:1">
      <c r="A247" s="86"/>
    </row>
    <row r="248" spans="1:1">
      <c r="A248" s="86"/>
    </row>
    <row r="249" spans="1:1">
      <c r="A249" s="86"/>
    </row>
    <row r="250" spans="1:1">
      <c r="A250" s="86"/>
    </row>
    <row r="251" spans="1:1">
      <c r="A251" s="86"/>
    </row>
    <row r="252" spans="1:1">
      <c r="A252" s="86"/>
    </row>
    <row r="253" spans="1:1">
      <c r="A253" s="86"/>
    </row>
    <row r="254" spans="1:1">
      <c r="A254" s="86"/>
    </row>
    <row r="255" spans="1:1">
      <c r="A255" s="86"/>
    </row>
    <row r="256" spans="1:1">
      <c r="A256" s="86"/>
    </row>
    <row r="257" spans="1:1">
      <c r="A257" s="86"/>
    </row>
    <row r="258" spans="1:1">
      <c r="A258" s="86"/>
    </row>
    <row r="259" spans="1:1">
      <c r="A259" s="86"/>
    </row>
    <row r="260" spans="1:1">
      <c r="A260" s="86"/>
    </row>
    <row r="261" spans="1:1">
      <c r="A261" s="86"/>
    </row>
    <row r="262" spans="1:1">
      <c r="A262" s="86"/>
    </row>
    <row r="263" spans="1:1">
      <c r="A263" s="86"/>
    </row>
    <row r="264" spans="1:1">
      <c r="A264" s="86"/>
    </row>
    <row r="265" spans="1:1">
      <c r="A265" s="86"/>
    </row>
    <row r="266" spans="1:1">
      <c r="A266" s="86"/>
    </row>
    <row r="267" spans="1:1">
      <c r="A267" s="86"/>
    </row>
    <row r="268" spans="1:1">
      <c r="A268" s="86"/>
    </row>
    <row r="269" spans="1:1">
      <c r="A269" s="86"/>
    </row>
    <row r="270" spans="1:1">
      <c r="A270" s="86"/>
    </row>
    <row r="271" spans="1:1">
      <c r="A271" s="86"/>
    </row>
    <row r="272" spans="1:1">
      <c r="A272" s="86"/>
    </row>
    <row r="273" spans="1:1">
      <c r="A273" s="86"/>
    </row>
    <row r="274" spans="1:1">
      <c r="A274" s="86"/>
    </row>
    <row r="275" spans="1:1">
      <c r="A275" s="86"/>
    </row>
    <row r="276" spans="1:1">
      <c r="A276" s="86"/>
    </row>
    <row r="277" spans="1:1">
      <c r="A277" s="86"/>
    </row>
    <row r="278" spans="1:1">
      <c r="A278" s="86"/>
    </row>
    <row r="279" spans="1:1">
      <c r="A279" s="86"/>
    </row>
    <row r="280" spans="1:1">
      <c r="A280" s="86"/>
    </row>
    <row r="281" spans="1:1">
      <c r="A281" s="86"/>
    </row>
    <row r="282" spans="1:1">
      <c r="A282" s="86"/>
    </row>
    <row r="283" spans="1:1">
      <c r="A283" s="86"/>
    </row>
    <row r="284" spans="1:1">
      <c r="A284" s="86"/>
    </row>
    <row r="285" spans="1:1">
      <c r="A285" s="86"/>
    </row>
    <row r="286" spans="1:1">
      <c r="A286" s="86"/>
    </row>
    <row r="287" spans="1:1">
      <c r="A287" s="86"/>
    </row>
    <row r="288" spans="1:1">
      <c r="A288" s="86"/>
    </row>
    <row r="289" spans="1:1">
      <c r="A289" s="86"/>
    </row>
    <row r="290" spans="1:1">
      <c r="A290" s="86"/>
    </row>
    <row r="291" spans="1:1">
      <c r="A291" s="86"/>
    </row>
    <row r="292" spans="1:1">
      <c r="A292" s="86"/>
    </row>
    <row r="293" spans="1:1">
      <c r="A293" s="86"/>
    </row>
    <row r="294" spans="1:1">
      <c r="A294" s="86"/>
    </row>
    <row r="295" spans="1:1">
      <c r="A295" s="86"/>
    </row>
    <row r="296" spans="1:1">
      <c r="A296" s="86"/>
    </row>
    <row r="297" spans="1:1">
      <c r="A297" s="86"/>
    </row>
    <row r="298" spans="1:1">
      <c r="A298" s="86"/>
    </row>
    <row r="299" spans="1:1">
      <c r="A299" s="86"/>
    </row>
    <row r="300" spans="1:1">
      <c r="A300" s="86"/>
    </row>
    <row r="301" spans="1:1">
      <c r="A301" s="86"/>
    </row>
    <row r="302" spans="1:1">
      <c r="A302" s="86"/>
    </row>
    <row r="303" spans="1:1">
      <c r="A303" s="86"/>
    </row>
    <row r="304" spans="1:1">
      <c r="A304" s="86"/>
    </row>
    <row r="305" spans="1:1">
      <c r="A305" s="86"/>
    </row>
    <row r="306" spans="1:1">
      <c r="A306" s="86"/>
    </row>
    <row r="307" spans="1:1">
      <c r="A307" s="86"/>
    </row>
    <row r="308" spans="1:1">
      <c r="A308" s="86"/>
    </row>
    <row r="309" spans="1:1">
      <c r="A309" s="86"/>
    </row>
    <row r="310" spans="1:1">
      <c r="A310" s="86"/>
    </row>
    <row r="311" spans="1:1">
      <c r="A311" s="86"/>
    </row>
    <row r="312" spans="1:1">
      <c r="A312" s="86"/>
    </row>
    <row r="313" spans="1:1">
      <c r="A313" s="86"/>
    </row>
    <row r="314" spans="1:1">
      <c r="A314" s="86"/>
    </row>
    <row r="315" spans="1:1">
      <c r="A315" s="86"/>
    </row>
    <row r="316" spans="1:1">
      <c r="A316" s="86"/>
    </row>
    <row r="317" spans="1:1">
      <c r="A317" s="86"/>
    </row>
    <row r="318" spans="1:1">
      <c r="A318" s="86"/>
    </row>
    <row r="319" spans="1:1">
      <c r="A319" s="86"/>
    </row>
    <row r="320" spans="1:1">
      <c r="A320" s="86"/>
    </row>
    <row r="321" spans="1:1">
      <c r="A321" s="86"/>
    </row>
    <row r="322" spans="1:1">
      <c r="A322" s="86"/>
    </row>
    <row r="323" spans="1:1">
      <c r="A323" s="86"/>
    </row>
    <row r="324" spans="1:1">
      <c r="A324" s="86"/>
    </row>
    <row r="325" spans="1:1">
      <c r="A325" s="86"/>
    </row>
    <row r="326" spans="1:1">
      <c r="A326" s="86"/>
    </row>
    <row r="327" spans="1:1">
      <c r="A327" s="86"/>
    </row>
    <row r="328" spans="1:1">
      <c r="A328" s="86"/>
    </row>
    <row r="329" spans="1:1">
      <c r="A329" s="86"/>
    </row>
    <row r="330" spans="1:1">
      <c r="A330" s="86"/>
    </row>
    <row r="331" spans="1:1">
      <c r="A331" s="86"/>
    </row>
    <row r="332" spans="1:1">
      <c r="A332" s="86"/>
    </row>
    <row r="333" spans="1:1">
      <c r="A333" s="86"/>
    </row>
    <row r="334" spans="1:1">
      <c r="A334" s="86"/>
    </row>
    <row r="335" spans="1:1">
      <c r="A335" s="86"/>
    </row>
    <row r="336" spans="1:1">
      <c r="A336" s="86"/>
    </row>
    <row r="337" spans="1:1">
      <c r="A337" s="86"/>
    </row>
    <row r="338" spans="1:1">
      <c r="A338" s="86"/>
    </row>
    <row r="339" spans="1:1">
      <c r="A339" s="86"/>
    </row>
    <row r="340" spans="1:1">
      <c r="A340" s="86"/>
    </row>
    <row r="341" spans="1:1">
      <c r="A341" s="86"/>
    </row>
    <row r="342" spans="1:1">
      <c r="A342" s="86"/>
    </row>
    <row r="343" spans="1:1">
      <c r="A343" s="86"/>
    </row>
    <row r="344" spans="1:1">
      <c r="A344" s="86"/>
    </row>
    <row r="345" spans="1:1">
      <c r="A345" s="86"/>
    </row>
    <row r="346" spans="1:1">
      <c r="A346" s="86"/>
    </row>
    <row r="347" spans="1:1">
      <c r="A347" s="86"/>
    </row>
    <row r="348" spans="1:1">
      <c r="A348" s="86"/>
    </row>
    <row r="349" spans="1:1">
      <c r="A349" s="86"/>
    </row>
    <row r="350" spans="1:1">
      <c r="A350" s="86"/>
    </row>
    <row r="351" spans="1:1">
      <c r="A351" s="86"/>
    </row>
    <row r="352" spans="1:1">
      <c r="A352" s="86"/>
    </row>
    <row r="353" spans="1:1">
      <c r="A353" s="86"/>
    </row>
    <row r="354" spans="1:1">
      <c r="A354" s="86"/>
    </row>
    <row r="355" spans="1:1">
      <c r="A355" s="86"/>
    </row>
    <row r="356" spans="1:1">
      <c r="A356" s="86"/>
    </row>
    <row r="357" spans="1:1">
      <c r="A357" s="86"/>
    </row>
    <row r="358" spans="1:1">
      <c r="A358" s="86"/>
    </row>
    <row r="359" spans="1:1">
      <c r="A359" s="86"/>
    </row>
    <row r="360" spans="1:1">
      <c r="A360" s="86"/>
    </row>
    <row r="361" spans="1:1">
      <c r="A361" s="86"/>
    </row>
    <row r="362" spans="1:1">
      <c r="A362" s="86"/>
    </row>
    <row r="363" spans="1:1">
      <c r="A363" s="86"/>
    </row>
    <row r="364" spans="1:1">
      <c r="A364" s="86"/>
    </row>
    <row r="365" spans="1:1">
      <c r="A365" s="86"/>
    </row>
    <row r="366" spans="1:1">
      <c r="A366" s="86"/>
    </row>
    <row r="367" spans="1:1">
      <c r="A367" s="86"/>
    </row>
    <row r="368" spans="1:1">
      <c r="A368" s="86"/>
    </row>
    <row r="369" spans="1:1">
      <c r="A369" s="86"/>
    </row>
    <row r="370" spans="1:1">
      <c r="A370" s="86"/>
    </row>
    <row r="371" spans="1:1">
      <c r="A371" s="86"/>
    </row>
    <row r="372" spans="1:1">
      <c r="A372" s="86"/>
    </row>
    <row r="373" spans="1:1">
      <c r="A373" s="86"/>
    </row>
    <row r="374" spans="1:1">
      <c r="A374" s="86"/>
    </row>
    <row r="375" spans="1:1">
      <c r="A375" s="86"/>
    </row>
    <row r="376" spans="1:1">
      <c r="A376" s="86"/>
    </row>
    <row r="377" spans="1:1">
      <c r="A377" s="86"/>
    </row>
    <row r="378" spans="1:1">
      <c r="A378" s="86"/>
    </row>
    <row r="379" spans="1:1">
      <c r="A379" s="86"/>
    </row>
    <row r="380" spans="1:1">
      <c r="A380" s="86"/>
    </row>
    <row r="381" spans="1:1">
      <c r="A381" s="86"/>
    </row>
    <row r="382" spans="1:1">
      <c r="A382" s="86"/>
    </row>
    <row r="383" spans="1:1">
      <c r="A383" s="86"/>
    </row>
    <row r="384" spans="1:1">
      <c r="A384" s="86"/>
    </row>
    <row r="385" spans="1:1">
      <c r="A385" s="86"/>
    </row>
    <row r="386" spans="1:1">
      <c r="A386" s="86"/>
    </row>
    <row r="387" spans="1:1">
      <c r="A387" s="86"/>
    </row>
    <row r="388" spans="1:1">
      <c r="A388" s="86"/>
    </row>
    <row r="389" spans="1:1">
      <c r="A389" s="86"/>
    </row>
    <row r="390" spans="1:1">
      <c r="A390" s="86"/>
    </row>
    <row r="391" spans="1:1">
      <c r="A391" s="86"/>
    </row>
    <row r="392" spans="1:1">
      <c r="A392" s="86"/>
    </row>
    <row r="393" spans="1:1">
      <c r="A393" s="86"/>
    </row>
    <row r="394" spans="1:1">
      <c r="A394" s="86"/>
    </row>
    <row r="395" spans="1:1">
      <c r="A395" s="86"/>
    </row>
    <row r="396" spans="1:1">
      <c r="A396" s="86"/>
    </row>
    <row r="397" spans="1:1">
      <c r="A397" s="86"/>
    </row>
    <row r="398" spans="1:1">
      <c r="A398" s="86"/>
    </row>
    <row r="399" spans="1:1">
      <c r="A399" s="86"/>
    </row>
    <row r="400" spans="1:1">
      <c r="A400" s="86"/>
    </row>
    <row r="401" spans="1:1">
      <c r="A401" s="86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Salée</vt:lpstr>
      <vt:lpstr>Sucrée</vt:lpstr>
      <vt:lpstr>Famille</vt:lpstr>
      <vt:lpstr>Système</vt:lpstr>
      <vt:lpstr>Calendrier Plan</vt:lpstr>
      <vt:lpstr>Feuil6</vt:lpstr>
      <vt:lpstr>Liste_ingrédients</vt:lpstr>
      <vt:lpstr>Jours_chômés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Kibou</dc:creator>
  <cp:lastModifiedBy>Kibou</cp:lastModifiedBy>
  <dcterms:created xsi:type="dcterms:W3CDTF">2023-12-09T20:19:16Z</dcterms:created>
  <dcterms:modified xsi:type="dcterms:W3CDTF">2023-12-09T20:38:11Z</dcterms:modified>
</cp:coreProperties>
</file>